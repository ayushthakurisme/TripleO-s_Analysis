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4C495502-AA37-494C-8289-0E20D1183BCC}" xr6:coauthVersionLast="47" xr6:coauthVersionMax="47" xr10:uidLastSave="{00000000-0000-0000-0000-000000000000}"/>
  <bookViews>
    <workbookView xWindow="-120" yWindow="-120" windowWidth="29040" windowHeight="15720" activeTab="2" xr2:uid="{5FD26F4C-61D4-4F7C-8DDE-52EEDA3BD568}"/>
  </bookViews>
  <sheets>
    <sheet name="Data" sheetId="1" r:id="rId1"/>
    <sheet name="Pivot" sheetId="2" r:id="rId2"/>
    <sheet name="Dashboard" sheetId="3" r:id="rId3"/>
  </sheets>
  <definedNames>
    <definedName name="Slicer_Burger_Name">#N/A</definedName>
    <definedName name="Slicer_Date">#N/A</definedName>
    <definedName name="Slicer_Day_Part">#N/A</definedName>
    <definedName name="Slicer_Thumbs_Up">#N/A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 l="1"/>
  <c r="F37" i="1"/>
  <c r="F38" i="1"/>
  <c r="F39" i="1"/>
  <c r="E36" i="1"/>
  <c r="E37" i="1"/>
  <c r="E38" i="1"/>
  <c r="E39" i="1"/>
  <c r="D36" i="1"/>
  <c r="D37" i="1"/>
  <c r="D38" i="1"/>
  <c r="D39" i="1"/>
  <c r="C36" i="1"/>
  <c r="C37" i="1"/>
  <c r="C38" i="1"/>
  <c r="C39" i="1"/>
  <c r="B36" i="1"/>
  <c r="B37" i="1"/>
  <c r="B38" i="1"/>
  <c r="B39" i="1"/>
  <c r="A30" i="1"/>
  <c r="A31" i="1"/>
  <c r="A32" i="1"/>
  <c r="A33" i="1"/>
  <c r="A37" i="1" s="1"/>
  <c r="A34" i="1"/>
  <c r="A35" i="1"/>
  <c r="A36" i="1"/>
  <c r="A38" i="1"/>
  <c r="A39" i="1"/>
  <c r="A7" i="1"/>
  <c r="A8" i="1"/>
  <c r="A9" i="1"/>
  <c r="A10" i="1"/>
  <c r="A11" i="1"/>
  <c r="A12" i="1"/>
  <c r="A13" i="1"/>
  <c r="A14" i="1"/>
  <c r="A15" i="1"/>
  <c r="A16" i="1"/>
  <c r="A17" i="1"/>
  <c r="A18" i="1"/>
  <c r="A22" i="1" s="1"/>
  <c r="A26" i="1" s="1"/>
  <c r="A19" i="1"/>
  <c r="A20" i="1"/>
  <c r="A21" i="1"/>
  <c r="A23" i="1"/>
  <c r="A24" i="1"/>
  <c r="A25" i="1"/>
  <c r="A27" i="1"/>
  <c r="A28" i="1"/>
  <c r="A29" i="1"/>
  <c r="A6" i="1"/>
  <c r="E9" i="1"/>
  <c r="E10" i="1"/>
  <c r="E11" i="1"/>
  <c r="E12" i="1"/>
  <c r="E13" i="1"/>
  <c r="E14" i="1"/>
  <c r="E15" i="1"/>
  <c r="E16" i="1"/>
  <c r="E17" i="1"/>
  <c r="E18" i="1"/>
  <c r="E19" i="1"/>
  <c r="E20" i="1"/>
  <c r="E21" i="1"/>
  <c r="E22" i="1"/>
  <c r="E23" i="1"/>
  <c r="E24" i="1"/>
  <c r="E25" i="1"/>
  <c r="E26" i="1"/>
  <c r="E27" i="1"/>
  <c r="E28" i="1"/>
  <c r="E29" i="1"/>
  <c r="E30" i="1"/>
  <c r="E31" i="1"/>
  <c r="E32" i="1"/>
  <c r="E33" i="1"/>
  <c r="E34" i="1"/>
  <c r="E35" i="1"/>
  <c r="E8" i="1"/>
  <c r="D31" i="1"/>
  <c r="D32" i="1"/>
  <c r="D33" i="1"/>
  <c r="D34" i="1"/>
  <c r="D35" i="1"/>
  <c r="F31" i="1"/>
  <c r="F32" i="1"/>
  <c r="F33" i="1"/>
  <c r="F34" i="1"/>
  <c r="F35" i="1"/>
  <c r="C31" i="1"/>
  <c r="C32" i="1"/>
  <c r="C33" i="1"/>
  <c r="C34" i="1"/>
  <c r="C35" i="1"/>
  <c r="B31" i="1"/>
  <c r="B32" i="1"/>
  <c r="B33" i="1"/>
  <c r="B34" i="1"/>
  <c r="B35" i="1"/>
  <c r="B9" i="1"/>
  <c r="B10" i="1"/>
  <c r="B11" i="1"/>
  <c r="B12" i="1"/>
  <c r="B13" i="1"/>
  <c r="B14" i="1"/>
  <c r="B15" i="1"/>
  <c r="B16" i="1"/>
  <c r="B17" i="1"/>
  <c r="B18" i="1"/>
  <c r="B19" i="1"/>
  <c r="B20" i="1"/>
  <c r="B21" i="1"/>
  <c r="B22" i="1"/>
  <c r="B23" i="1"/>
  <c r="B24" i="1"/>
  <c r="B25" i="1"/>
  <c r="B26" i="1"/>
  <c r="B27" i="1"/>
  <c r="B28" i="1"/>
  <c r="B29" i="1"/>
  <c r="B30" i="1"/>
  <c r="B8" i="1"/>
  <c r="C9" i="1"/>
  <c r="C10" i="1"/>
  <c r="C11" i="1"/>
  <c r="C12" i="1"/>
  <c r="C13" i="1"/>
  <c r="C14" i="1"/>
  <c r="C15" i="1"/>
  <c r="C16" i="1"/>
  <c r="C17" i="1"/>
  <c r="C18" i="1"/>
  <c r="C19" i="1"/>
  <c r="C20" i="1"/>
  <c r="C21" i="1"/>
  <c r="C22" i="1"/>
  <c r="C23" i="1"/>
  <c r="C24" i="1"/>
  <c r="C25" i="1"/>
  <c r="C26" i="1"/>
  <c r="C27" i="1"/>
  <c r="C28" i="1"/>
  <c r="C29" i="1"/>
  <c r="C30" i="1"/>
  <c r="C8" i="1"/>
  <c r="F9" i="1"/>
  <c r="F10" i="1"/>
  <c r="F11" i="1"/>
  <c r="F12" i="1"/>
  <c r="F13" i="1"/>
  <c r="F14" i="1"/>
  <c r="F15" i="1"/>
  <c r="F16" i="1"/>
  <c r="F17" i="1"/>
  <c r="F18" i="1"/>
  <c r="F19" i="1"/>
  <c r="F20" i="1"/>
  <c r="F21" i="1"/>
  <c r="F22" i="1"/>
  <c r="F23" i="1"/>
  <c r="F24" i="1"/>
  <c r="F25" i="1"/>
  <c r="F26" i="1"/>
  <c r="F27" i="1"/>
  <c r="F28" i="1"/>
  <c r="F29" i="1"/>
  <c r="F30" i="1"/>
  <c r="F8" i="1"/>
  <c r="D9" i="1"/>
  <c r="D10" i="1"/>
  <c r="D11" i="1"/>
  <c r="D12" i="1"/>
  <c r="D13" i="1"/>
  <c r="D14" i="1"/>
  <c r="D15" i="1"/>
  <c r="D16" i="1"/>
  <c r="D17" i="1"/>
  <c r="D18" i="1"/>
  <c r="D19" i="1"/>
  <c r="D20" i="1"/>
  <c r="D21" i="1"/>
  <c r="D22" i="1"/>
  <c r="D23" i="1"/>
  <c r="D24" i="1"/>
  <c r="D25" i="1"/>
  <c r="D26" i="1"/>
  <c r="D27" i="1"/>
  <c r="D28" i="1"/>
  <c r="D29" i="1"/>
  <c r="D30" i="1"/>
  <c r="D8" i="1"/>
</calcChain>
</file>

<file path=xl/sharedStrings.xml><?xml version="1.0" encoding="utf-8"?>
<sst xmlns="http://schemas.openxmlformats.org/spreadsheetml/2006/main" count="62" uniqueCount="31">
  <si>
    <t>Date</t>
  </si>
  <si>
    <t>Day Part</t>
  </si>
  <si>
    <t>Burger Name</t>
  </si>
  <si>
    <t>Quantity</t>
  </si>
  <si>
    <t>Customer ID</t>
  </si>
  <si>
    <t>Thumbs Up</t>
  </si>
  <si>
    <t>Breakfast</t>
  </si>
  <si>
    <t>C001</t>
  </si>
  <si>
    <t>Yes</t>
  </si>
  <si>
    <t>Lunch</t>
  </si>
  <si>
    <t>C002</t>
  </si>
  <si>
    <t>No</t>
  </si>
  <si>
    <t>Dinner</t>
  </si>
  <si>
    <t>C003</t>
  </si>
  <si>
    <t>C004</t>
  </si>
  <si>
    <t>Bacon Cheddar</t>
  </si>
  <si>
    <t>Original</t>
  </si>
  <si>
    <t>Veggie</t>
  </si>
  <si>
    <t>Chicken Strips</t>
  </si>
  <si>
    <t>C005</t>
  </si>
  <si>
    <t>C006</t>
  </si>
  <si>
    <t>C007</t>
  </si>
  <si>
    <t>C008</t>
  </si>
  <si>
    <t>C009</t>
  </si>
  <si>
    <t>C010</t>
  </si>
  <si>
    <t>Row Labels</t>
  </si>
  <si>
    <t>Grand Total</t>
  </si>
  <si>
    <t>Sum of Quantity</t>
  </si>
  <si>
    <t>Count of Quantity</t>
  </si>
  <si>
    <t>Count of Thumbs Up</t>
  </si>
  <si>
    <t>Sales at TripleO's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</si>
</sst>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48"/>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[TRIPLEO's.xlsx]Pivot!PivotTable1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Menu items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Pivot!$A$2:$A$6</c:f>
              <c:strCache>
                <c:ptCount val="4"/>
                <c:pt idx="0">
                  <c:v>Bacon Cheddar</c:v>
                </c:pt>
                <c:pt idx="1">
                  <c:v>Chicken Strips</c:v>
                </c:pt>
                <c:pt idx="2">
                  <c:v>Original</c:v>
                </c:pt>
                <c:pt idx="3">
                  <c:v>Veggie</c:v>
                </c:pt>
              </c:strCache>
            </c:strRef>
          </c:cat>
          <c:val>
            <c:numRef>
              <c:f>Pivot!$B$2:$B$6</c:f>
              <c:numCache>
                <c:formatCode>General</c:formatCode>
                <c:ptCount val="4"/>
                <c:pt idx="0">
                  <c:v>18</c:v>
                </c:pt>
                <c:pt idx="1">
                  <c:v>48</c:v>
                </c:pt>
                <c:pt idx="2">
                  <c:v>24</c:v>
                </c:pt>
                <c:pt idx="3">
                  <c:v>24</c:v>
                </c:pt>
              </c:numCache>
            </c:numRef>
          </c:val>
          <c:extLst>
            <c:ext xmlns:c16="http://schemas.microsoft.com/office/drawing/2014/chart" uri="{C3380CC4-5D6E-409C-BE32-E72D297353CC}">
              <c16:uniqueId val="{00000000-BDBF-42B4-89DF-72FA544E6043}"/>
            </c:ext>
          </c:extLst>
        </c:ser>
        <c:dLbls>
          <c:dLblPos val="outEnd"/>
          <c:showLegendKey val="0"/>
          <c:showVal val="1"/>
          <c:showCatName val="0"/>
          <c:showSerName val="0"/>
          <c:showPercent val="0"/>
          <c:showBubbleSize val="0"/>
        </c:dLbls>
        <c:gapWidth val="355"/>
        <c:overlap val="-70"/>
        <c:axId val="1443158944"/>
        <c:axId val="1443172864"/>
      </c:barChart>
      <c:catAx>
        <c:axId val="14431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172864"/>
        <c:crosses val="autoZero"/>
        <c:auto val="1"/>
        <c:lblAlgn val="ctr"/>
        <c:lblOffset val="100"/>
        <c:noMultiLvlLbl val="0"/>
      </c:catAx>
      <c:valAx>
        <c:axId val="14431728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1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[TRIPLEO's.xlsx]Pivot!PivotTable2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Pivot!$A$10:$A$20</c:f>
              <c:strCache>
                <c:ptCount val="10"/>
                <c:pt idx="0">
                  <c:v>C001</c:v>
                </c:pt>
                <c:pt idx="1">
                  <c:v>C002</c:v>
                </c:pt>
                <c:pt idx="2">
                  <c:v>C003</c:v>
                </c:pt>
                <c:pt idx="3">
                  <c:v>C004</c:v>
                </c:pt>
                <c:pt idx="4">
                  <c:v>C005</c:v>
                </c:pt>
                <c:pt idx="5">
                  <c:v>C006</c:v>
                </c:pt>
                <c:pt idx="6">
                  <c:v>C007</c:v>
                </c:pt>
                <c:pt idx="7">
                  <c:v>C008</c:v>
                </c:pt>
                <c:pt idx="8">
                  <c:v>C009</c:v>
                </c:pt>
                <c:pt idx="9">
                  <c:v>C010</c:v>
                </c:pt>
              </c:strCache>
            </c:strRef>
          </c:cat>
          <c:val>
            <c:numRef>
              <c:f>Pivot!$B$10:$B$20</c:f>
              <c:numCache>
                <c:formatCode>General</c:formatCode>
                <c:ptCount val="10"/>
                <c:pt idx="0">
                  <c:v>3</c:v>
                </c:pt>
                <c:pt idx="1">
                  <c:v>5</c:v>
                </c:pt>
                <c:pt idx="2">
                  <c:v>2</c:v>
                </c:pt>
                <c:pt idx="3">
                  <c:v>5</c:v>
                </c:pt>
                <c:pt idx="4">
                  <c:v>4</c:v>
                </c:pt>
                <c:pt idx="5">
                  <c:v>4</c:v>
                </c:pt>
                <c:pt idx="6">
                  <c:v>1</c:v>
                </c:pt>
                <c:pt idx="7">
                  <c:v>5</c:v>
                </c:pt>
                <c:pt idx="8">
                  <c:v>7</c:v>
                </c:pt>
                <c:pt idx="9">
                  <c:v>2</c:v>
                </c:pt>
              </c:numCache>
            </c:numRef>
          </c:val>
          <c:extLst>
            <c:ext xmlns:c16="http://schemas.microsoft.com/office/drawing/2014/chart" uri="{C3380CC4-5D6E-409C-BE32-E72D297353CC}">
              <c16:uniqueId val="{00000000-349B-4998-97E3-2DED5B556B99}"/>
            </c:ext>
          </c:extLst>
        </c:ser>
        <c:dLbls>
          <c:showLegendKey val="0"/>
          <c:showVal val="0"/>
          <c:showCatName val="0"/>
          <c:showSerName val="0"/>
          <c:showPercent val="0"/>
          <c:showBubbleSize val="0"/>
        </c:dLbls>
        <c:gapWidth val="100"/>
        <c:overlap val="-24"/>
        <c:axId val="1443171904"/>
        <c:axId val="1443176704"/>
      </c:barChart>
      <c:catAx>
        <c:axId val="14431719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CUSTOMER ID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176704"/>
        <c:crosses val="autoZero"/>
        <c:auto val="1"/>
        <c:lblAlgn val="ctr"/>
        <c:lblOffset val="100"/>
        <c:noMultiLvlLbl val="0"/>
      </c:catAx>
      <c:valAx>
        <c:axId val="1443176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NO.</a:t>
                </a:r>
                <a:r>
                  <a:rPr lang="en-US" baseline="0"/>
                  <a:t> OF ORDERS</a:t>
                </a: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17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[TRIPLEO's.xlsx]Pivot!PivotTable3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Pivot!$B$23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79-4F6B-A2B3-ACBB186B0B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79-4F6B-A2B3-ACBB186B0B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Pivot!$A$24:$A$26</c:f>
              <c:strCache>
                <c:ptCount val="2"/>
                <c:pt idx="0">
                  <c:v>No</c:v>
                </c:pt>
                <c:pt idx="1">
                  <c:v>Yes</c:v>
                </c:pt>
              </c:strCache>
            </c:strRef>
          </c:cat>
          <c:val>
            <c:numRef>
              <c:f>Pivot!$B$24:$B$26</c:f>
              <c:numCache>
                <c:formatCode>General</c:formatCode>
                <c:ptCount val="2"/>
                <c:pt idx="0">
                  <c:v>12</c:v>
                </c:pt>
                <c:pt idx="1">
                  <c:v>26</c:v>
                </c:pt>
              </c:numCache>
            </c:numRef>
          </c:val>
          <c:extLst>
            <c:ext xmlns:c16="http://schemas.microsoft.com/office/drawing/2014/chart" uri="{C3380CC4-5D6E-409C-BE32-E72D297353CC}">
              <c16:uniqueId val="{00000004-2D79-4F6B-A2B3-ACBB186B0B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[TRIPLEO's.xlsx]Pivot!PivotTable4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Day part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Pivot!$A$30:$A$33</c:f>
              <c:strCache>
                <c:ptCount val="3"/>
                <c:pt idx="0">
                  <c:v>Breakfast</c:v>
                </c:pt>
                <c:pt idx="1">
                  <c:v>Dinner</c:v>
                </c:pt>
                <c:pt idx="2">
                  <c:v>Lunch</c:v>
                </c:pt>
              </c:strCache>
            </c:strRef>
          </c:cat>
          <c:val>
            <c:numRef>
              <c:f>Pivot!$B$30:$B$33</c:f>
              <c:numCache>
                <c:formatCode>General</c:formatCode>
                <c:ptCount val="3"/>
                <c:pt idx="0">
                  <c:v>40</c:v>
                </c:pt>
                <c:pt idx="1">
                  <c:v>28</c:v>
                </c:pt>
                <c:pt idx="2">
                  <c:v>46</c:v>
                </c:pt>
              </c:numCache>
            </c:numRef>
          </c:val>
          <c:smooth val="0"/>
          <c:extLst>
            <c:ext xmlns:c16="http://schemas.microsoft.com/office/drawing/2014/chart" uri="{C3380CC4-5D6E-409C-BE32-E72D297353CC}">
              <c16:uniqueId val="{00000000-CD72-4F00-A052-5B17CDF0B54A}"/>
            </c:ext>
          </c:extLst>
        </c:ser>
        <c:dLbls>
          <c:showLegendKey val="0"/>
          <c:showVal val="0"/>
          <c:showCatName val="0"/>
          <c:showSerName val="0"/>
          <c:showPercent val="0"/>
          <c:showBubbleSize val="0"/>
        </c:dLbls>
        <c:marker val="1"/>
        <c:smooth val="0"/>
        <c:axId val="1331830016"/>
        <c:axId val="1331844896"/>
      </c:lineChart>
      <c:catAx>
        <c:axId val="133183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44896"/>
        <c:crosses val="autoZero"/>
        <c:auto val="1"/>
        <c:lblAlgn val="ctr"/>
        <c:lblOffset val="100"/>
        <c:noMultiLvlLbl val="0"/>
      </c:catAx>
      <c:valAx>
        <c:axId val="1331844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3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590550</xdr:colOff>
      <xdr:row>4</xdr:row>
      <xdr:rowOff>0</xdr:rowOff>
    </xdr:from>
    <xdr:to>
      <xdr:col>9</xdr:col>
      <xdr:colOff>285750</xdr:colOff>
      <xdr:row>18</xdr:row>
      <xdr:rowOff>76200</xdr:rowOff>
    </xdr:to>
    <xdr:graphicFrame macro="">
      <xdr:nvGraphicFramePr>
        <xdr:cNvPr id="3" name="Chart 2">
          <a:extLst>
            <a:ext uri="{FF2B5EF4-FFF2-40B4-BE49-F238E27FC236}">
              <a16:creationId xmlns:a16="http://schemas.microsoft.com/office/drawing/2014/main" id="{3FC32C60-4A49-4BB2-AC8B-1F744AD26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18</xdr:row>
      <xdr:rowOff>76200</xdr:rowOff>
    </xdr:from>
    <xdr:to>
      <xdr:col>16</xdr:col>
      <xdr:colOff>590550</xdr:colOff>
      <xdr:row>32</xdr:row>
      <xdr:rowOff>152400</xdr:rowOff>
    </xdr:to>
    <xdr:graphicFrame macro="">
      <xdr:nvGraphicFramePr>
        <xdr:cNvPr id="4" name="Chart 3">
          <a:extLst>
            <a:ext uri="{FF2B5EF4-FFF2-40B4-BE49-F238E27FC236}">
              <a16:creationId xmlns:a16="http://schemas.microsoft.com/office/drawing/2014/main" id="{84E1595E-7870-49C6-A69C-135F0126B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295275</xdr:colOff>
      <xdr:row>4</xdr:row>
      <xdr:rowOff>0</xdr:rowOff>
    </xdr:from>
    <xdr:to>
      <xdr:col>16</xdr:col>
      <xdr:colOff>600075</xdr:colOff>
      <xdr:row>18</xdr:row>
      <xdr:rowOff>76200</xdr:rowOff>
    </xdr:to>
    <xdr:graphicFrame macro="">
      <xdr:nvGraphicFramePr>
        <xdr:cNvPr id="5" name="Chart 4">
          <a:extLst>
            <a:ext uri="{FF2B5EF4-FFF2-40B4-BE49-F238E27FC236}">
              <a16:creationId xmlns:a16="http://schemas.microsoft.com/office/drawing/2014/main" id="{AE9C1C90-A95D-4BAA-8EC4-AAF274AB4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571500</xdr:colOff>
      <xdr:row>18</xdr:row>
      <xdr:rowOff>85725</xdr:rowOff>
    </xdr:from>
    <xdr:to>
      <xdr:col>9</xdr:col>
      <xdr:colOff>266700</xdr:colOff>
      <xdr:row>32</xdr:row>
      <xdr:rowOff>161925</xdr:rowOff>
    </xdr:to>
    <xdr:graphicFrame macro="">
      <xdr:nvGraphicFramePr>
        <xdr:cNvPr id="6" name="Chart 5">
          <a:extLst>
            <a:ext uri="{FF2B5EF4-FFF2-40B4-BE49-F238E27FC236}">
              <a16:creationId xmlns:a16="http://schemas.microsoft.com/office/drawing/2014/main" id="{724B20D0-1C08-4DD5-B103-4825E2F61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38100</xdr:rowOff>
    </xdr:from>
    <xdr:to>
      <xdr:col>2</xdr:col>
      <xdr:colOff>76200</xdr:colOff>
      <xdr:row>11</xdr:row>
      <xdr:rowOff>171450</xdr:rowOff>
    </xdr:to>
    <mc:AlternateContent xmlns:mc="http://schemas.openxmlformats.org/markup-compatibility/2006">
      <mc:Choice xmlns:a14="http://schemas.microsoft.com/office/drawing/2010/main" Requires="a14">
        <xdr:graphicFrame macro="">
          <xdr:nvGraphicFramePr>
            <xdr:cNvPr id="7" name="Date">
              <a:extLst>
                <a:ext uri="{FF2B5EF4-FFF2-40B4-BE49-F238E27FC236}">
                  <a16:creationId xmlns:a16="http://schemas.microsoft.com/office/drawing/2014/main" id="{821B9C9A-B350-6E2C-07B1-15697C2A0D6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800100"/>
              <a:ext cx="12954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161925</xdr:rowOff>
    </xdr:from>
    <xdr:to>
      <xdr:col>2</xdr:col>
      <xdr:colOff>47625</xdr:colOff>
      <xdr:row>18</xdr:row>
      <xdr:rowOff>85725</xdr:rowOff>
    </xdr:to>
    <mc:AlternateContent xmlns:mc="http://schemas.openxmlformats.org/markup-compatibility/2006">
      <mc:Choice xmlns:a14="http://schemas.microsoft.com/office/drawing/2010/main" Requires="a14">
        <xdr:graphicFrame macro="">
          <xdr:nvGraphicFramePr>
            <xdr:cNvPr id="8" name="Day Part">
              <a:extLst>
                <a:ext uri="{FF2B5EF4-FFF2-40B4-BE49-F238E27FC236}">
                  <a16:creationId xmlns:a16="http://schemas.microsoft.com/office/drawing/2014/main" id="{672EB450-D32F-133D-2C50-DBDE2ED0567C}"/>
                </a:ext>
              </a:extLst>
            </xdr:cNvPr>
            <xdr:cNvGraphicFramePr/>
          </xdr:nvGraphicFramePr>
          <xdr:xfrm>
            <a:off x="0" y="0"/>
            <a:ext cx="0" cy="0"/>
          </xdr:xfrm>
          <a:graphic>
            <a:graphicData uri="http://schemas.microsoft.com/office/drawing/2010/slicer">
              <sle:slicer xmlns:sle="http://schemas.microsoft.com/office/drawing/2010/slicer" name="Day Part"/>
            </a:graphicData>
          </a:graphic>
        </xdr:graphicFrame>
      </mc:Choice>
      <mc:Fallback>
        <xdr:sp macro="" textlink="">
          <xdr:nvSpPr>
            <xdr:cNvPr id="0" name=""/>
            <xdr:cNvSpPr>
              <a:spLocks noTextEdit="1"/>
            </xdr:cNvSpPr>
          </xdr:nvSpPr>
          <xdr:spPr>
            <a:xfrm>
              <a:off x="0" y="2257425"/>
              <a:ext cx="126682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57150</xdr:rowOff>
    </xdr:from>
    <xdr:to>
      <xdr:col>2</xdr:col>
      <xdr:colOff>38100</xdr:colOff>
      <xdr:row>26</xdr:row>
      <xdr:rowOff>28575</xdr:rowOff>
    </xdr:to>
    <mc:AlternateContent xmlns:mc="http://schemas.openxmlformats.org/markup-compatibility/2006">
      <mc:Choice xmlns:a14="http://schemas.microsoft.com/office/drawing/2010/main" Requires="a14">
        <xdr:graphicFrame macro="">
          <xdr:nvGraphicFramePr>
            <xdr:cNvPr id="9" name="Burger Name">
              <a:extLst>
                <a:ext uri="{FF2B5EF4-FFF2-40B4-BE49-F238E27FC236}">
                  <a16:creationId xmlns:a16="http://schemas.microsoft.com/office/drawing/2014/main" id="{06A52505-8420-4506-F6AA-13FFA4E221D4}"/>
                </a:ext>
              </a:extLst>
            </xdr:cNvPr>
            <xdr:cNvGraphicFramePr/>
          </xdr:nvGraphicFramePr>
          <xdr:xfrm>
            <a:off x="0" y="0"/>
            <a:ext cx="0" cy="0"/>
          </xdr:xfrm>
          <a:graphic>
            <a:graphicData uri="http://schemas.microsoft.com/office/drawing/2010/slicer">
              <sle:slicer xmlns:sle="http://schemas.microsoft.com/office/drawing/2010/slicer" name="Burger Name"/>
            </a:graphicData>
          </a:graphic>
        </xdr:graphicFrame>
      </mc:Choice>
      <mc:Fallback>
        <xdr:sp macro="" textlink="">
          <xdr:nvSpPr>
            <xdr:cNvPr id="0" name=""/>
            <xdr:cNvSpPr>
              <a:spLocks noTextEdit="1"/>
            </xdr:cNvSpPr>
          </xdr:nvSpPr>
          <xdr:spPr>
            <a:xfrm>
              <a:off x="0" y="3486150"/>
              <a:ext cx="12573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38100</xdr:rowOff>
    </xdr:from>
    <xdr:to>
      <xdr:col>1</xdr:col>
      <xdr:colOff>581025</xdr:colOff>
      <xdr:row>33</xdr:row>
      <xdr:rowOff>0</xdr:rowOff>
    </xdr:to>
    <mc:AlternateContent xmlns:mc="http://schemas.openxmlformats.org/markup-compatibility/2006">
      <mc:Choice xmlns:a14="http://schemas.microsoft.com/office/drawing/2010/main" Requires="a14">
        <xdr:graphicFrame macro="">
          <xdr:nvGraphicFramePr>
            <xdr:cNvPr id="12" name="Thumbs Up">
              <a:extLst>
                <a:ext uri="{FF2B5EF4-FFF2-40B4-BE49-F238E27FC236}">
                  <a16:creationId xmlns:a16="http://schemas.microsoft.com/office/drawing/2014/main" id="{11269F0A-02E0-D82E-40AA-BBBEFB8C265A}"/>
                </a:ext>
              </a:extLst>
            </xdr:cNvPr>
            <xdr:cNvGraphicFramePr/>
          </xdr:nvGraphicFramePr>
          <xdr:xfrm>
            <a:off x="0" y="0"/>
            <a:ext cx="0" cy="0"/>
          </xdr:xfrm>
          <a:graphic>
            <a:graphicData uri="http://schemas.microsoft.com/office/drawing/2010/slicer">
              <sle:slicer xmlns:sle="http://schemas.microsoft.com/office/drawing/2010/slicer" name="Thumbs Up"/>
            </a:graphicData>
          </a:graphic>
        </xdr:graphicFrame>
      </mc:Choice>
      <mc:Fallback>
        <xdr:sp macro="" textlink="">
          <xdr:nvSpPr>
            <xdr:cNvPr id="0" name=""/>
            <xdr:cNvSpPr>
              <a:spLocks noTextEdit="1"/>
            </xdr:cNvSpPr>
          </xdr:nvSpPr>
          <xdr:spPr>
            <a:xfrm>
              <a:off x="0" y="4991100"/>
              <a:ext cx="119062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123824</xdr:colOff>
      <xdr:row>4</xdr:row>
      <xdr:rowOff>180975</xdr:rowOff>
    </xdr:from>
    <xdr:ext cx="4238625" cy="2064796"/>
    <xdr:sp macro="" textlink="">
      <xdr:nvSpPr>
        <xdr:cNvPr id="13" name="TextBox 12">
          <a:extLst>
            <a:ext uri="{FF2B5EF4-FFF2-40B4-BE49-F238E27FC236}">
              <a16:creationId xmlns:a16="http://schemas.microsoft.com/office/drawing/2014/main" id="{0D9AEE27-6443-E740-889D-7494CC4EB392}"/>
            </a:ext>
          </a:extLst>
        </xdr:cNvPr>
        <xdr:cNvSpPr txBox="1"/>
      </xdr:nvSpPr>
      <xdr:spPr>
        <a:xfrm>
          <a:off x="10487024" y="942975"/>
          <a:ext cx="4238625" cy="206479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tx1">
                  <a:lumMod val="95000"/>
                  <a:lumOff val="5000"/>
                </a:schemeClr>
              </a:solidFill>
            </a:rPr>
            <a:t>KEY</a:t>
          </a:r>
          <a:r>
            <a:rPr lang="en-US" sz="1400" baseline="0">
              <a:solidFill>
                <a:schemeClr val="tx1">
                  <a:lumMod val="95000"/>
                  <a:lumOff val="5000"/>
                </a:schemeClr>
              </a:solidFill>
            </a:rPr>
            <a:t> INSIGHTS:</a:t>
          </a:r>
        </a:p>
        <a:p>
          <a:r>
            <a:rPr lang="en-US" sz="1400" baseline="0">
              <a:solidFill>
                <a:schemeClr val="tx1">
                  <a:lumMod val="95000"/>
                  <a:lumOff val="5000"/>
                </a:schemeClr>
              </a:solidFill>
            </a:rPr>
            <a:t>BEST SELLING ITEM : CHICKEN STRIPS</a:t>
          </a:r>
        </a:p>
        <a:p>
          <a:endParaRPr lang="en-US" sz="1400" baseline="0">
            <a:solidFill>
              <a:schemeClr val="tx1">
                <a:lumMod val="95000"/>
                <a:lumOff val="5000"/>
              </a:schemeClr>
            </a:solidFill>
          </a:endParaRPr>
        </a:p>
        <a:p>
          <a:r>
            <a:rPr lang="en-US" sz="1400" baseline="0">
              <a:solidFill>
                <a:schemeClr val="tx1">
                  <a:lumMod val="95000"/>
                  <a:lumOff val="5000"/>
                </a:schemeClr>
              </a:solidFill>
            </a:rPr>
            <a:t>RETURNING CUSTOMERS: 40% OF TOTAL CUSTOMER</a:t>
          </a:r>
        </a:p>
        <a:p>
          <a:endParaRPr lang="en-US" sz="1400" baseline="0">
            <a:solidFill>
              <a:schemeClr val="tx1">
                <a:lumMod val="95000"/>
                <a:lumOff val="5000"/>
              </a:schemeClr>
            </a:solidFill>
          </a:endParaRPr>
        </a:p>
        <a:p>
          <a:r>
            <a:rPr lang="en-US" sz="1400" baseline="0">
              <a:solidFill>
                <a:schemeClr val="tx1">
                  <a:lumMod val="95000"/>
                  <a:lumOff val="5000"/>
                </a:schemeClr>
              </a:solidFill>
            </a:rPr>
            <a:t>RATINGS: 68 % POSITIVE FEEDBACK</a:t>
          </a:r>
        </a:p>
        <a:p>
          <a:endParaRPr lang="en-US" sz="1400" baseline="0">
            <a:solidFill>
              <a:schemeClr val="tx1">
                <a:lumMod val="95000"/>
                <a:lumOff val="5000"/>
              </a:schemeClr>
            </a:solidFill>
          </a:endParaRPr>
        </a:p>
        <a:p>
          <a:r>
            <a:rPr lang="en-US" sz="1400" baseline="0">
              <a:solidFill>
                <a:schemeClr val="tx1">
                  <a:lumMod val="95000"/>
                  <a:lumOff val="5000"/>
                </a:schemeClr>
              </a:solidFill>
            </a:rPr>
            <a:t>SLOWEST DAYPART : DINNER</a:t>
          </a:r>
        </a:p>
        <a:p>
          <a:endParaRPr lang="en-US" sz="1400">
            <a:solidFill>
              <a:schemeClr val="tx2">
                <a:lumMod val="90000"/>
                <a:lumOff val="10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1.77388645833" createdVersion="8" refreshedVersion="8" minRefreshableVersion="3" recordCount="38" xr:uid="{90A44FE0-1544-48D8-AC45-26B8132C3D0D}">
  <cacheSource type="worksheet">
    <worksheetSource ref="A1:F39" sheet="Data"/>
  </cacheSource>
  <cacheFields count="6">
    <cacheField name="Date" numFmtId="14">
      <sharedItems containsSemiMixedTypes="0" containsNonDate="0" containsDate="1" containsString="0" minDate="2026-03-01T00:00:00" maxDate="2026-03-11T00:00:00" count="10">
        <d v="2026-03-01T00:00:00"/>
        <d v="2026-03-02T00:00:00"/>
        <d v="2026-03-03T00:00:00"/>
        <d v="2026-03-04T00:00:00"/>
        <d v="2026-03-05T00:00:00"/>
        <d v="2026-03-06T00:00:00"/>
        <d v="2026-03-07T00:00:00"/>
        <d v="2026-03-08T00:00:00"/>
        <d v="2026-03-09T00:00:00"/>
        <d v="2026-03-10T00:00:00"/>
      </sharedItems>
    </cacheField>
    <cacheField name="Day Part" numFmtId="0">
      <sharedItems count="3">
        <s v="Breakfast"/>
        <s v="Lunch"/>
        <s v="Dinner"/>
      </sharedItems>
    </cacheField>
    <cacheField name="Burger Name" numFmtId="0">
      <sharedItems count="4">
        <s v="Bacon Cheddar"/>
        <s v="Original"/>
        <s v="Veggie"/>
        <s v="Chicken Strips"/>
      </sharedItems>
    </cacheField>
    <cacheField name="Quantity" numFmtId="0">
      <sharedItems containsSemiMixedTypes="0" containsString="0" containsNumber="1" containsInteger="1" minValue="1" maxValue="5" count="5">
        <n v="2"/>
        <n v="1"/>
        <n v="3"/>
        <n v="4"/>
        <n v="5"/>
      </sharedItems>
    </cacheField>
    <cacheField name="Customer ID" numFmtId="0">
      <sharedItems count="10">
        <s v="C001"/>
        <s v="C002"/>
        <s v="C003"/>
        <s v="C004"/>
        <s v="C005"/>
        <s v="C008"/>
        <s v="C007"/>
        <s v="C010"/>
        <s v="C006"/>
        <s v="C009"/>
      </sharedItems>
    </cacheField>
    <cacheField name="Thumbs Up" numFmtId="0">
      <sharedItems count="2">
        <s v="Yes"/>
        <s v="No"/>
      </sharedItems>
    </cacheField>
  </cacheFields>
  <extLst>
    <ext xmlns:x14="http://schemas.microsoft.com/office/spreadsheetml/2009/9/main" uri="{725AE2AE-9491-48be-B2B4-4EB974FC3084}">
      <x14:pivotCacheDefinition pivotCacheId="228668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x v="0"/>
    <x v="0"/>
    <x v="0"/>
  </r>
  <r>
    <x v="0"/>
    <x v="1"/>
    <x v="1"/>
    <x v="1"/>
    <x v="1"/>
    <x v="1"/>
  </r>
  <r>
    <x v="0"/>
    <x v="2"/>
    <x v="2"/>
    <x v="2"/>
    <x v="2"/>
    <x v="0"/>
  </r>
  <r>
    <x v="1"/>
    <x v="0"/>
    <x v="3"/>
    <x v="1"/>
    <x v="3"/>
    <x v="1"/>
  </r>
  <r>
    <x v="1"/>
    <x v="1"/>
    <x v="0"/>
    <x v="0"/>
    <x v="0"/>
    <x v="0"/>
  </r>
  <r>
    <x v="1"/>
    <x v="2"/>
    <x v="3"/>
    <x v="3"/>
    <x v="4"/>
    <x v="1"/>
  </r>
  <r>
    <x v="1"/>
    <x v="2"/>
    <x v="2"/>
    <x v="0"/>
    <x v="5"/>
    <x v="0"/>
  </r>
  <r>
    <x v="2"/>
    <x v="0"/>
    <x v="2"/>
    <x v="4"/>
    <x v="1"/>
    <x v="0"/>
  </r>
  <r>
    <x v="2"/>
    <x v="0"/>
    <x v="0"/>
    <x v="0"/>
    <x v="1"/>
    <x v="1"/>
  </r>
  <r>
    <x v="2"/>
    <x v="0"/>
    <x v="2"/>
    <x v="4"/>
    <x v="6"/>
    <x v="0"/>
  </r>
  <r>
    <x v="2"/>
    <x v="2"/>
    <x v="0"/>
    <x v="0"/>
    <x v="7"/>
    <x v="0"/>
  </r>
  <r>
    <x v="3"/>
    <x v="0"/>
    <x v="0"/>
    <x v="0"/>
    <x v="5"/>
    <x v="0"/>
  </r>
  <r>
    <x v="3"/>
    <x v="2"/>
    <x v="3"/>
    <x v="2"/>
    <x v="8"/>
    <x v="0"/>
  </r>
  <r>
    <x v="3"/>
    <x v="1"/>
    <x v="1"/>
    <x v="2"/>
    <x v="1"/>
    <x v="0"/>
  </r>
  <r>
    <x v="3"/>
    <x v="1"/>
    <x v="2"/>
    <x v="1"/>
    <x v="5"/>
    <x v="0"/>
  </r>
  <r>
    <x v="4"/>
    <x v="1"/>
    <x v="3"/>
    <x v="3"/>
    <x v="9"/>
    <x v="0"/>
  </r>
  <r>
    <x v="4"/>
    <x v="1"/>
    <x v="3"/>
    <x v="0"/>
    <x v="3"/>
    <x v="0"/>
  </r>
  <r>
    <x v="4"/>
    <x v="0"/>
    <x v="3"/>
    <x v="0"/>
    <x v="2"/>
    <x v="0"/>
  </r>
  <r>
    <x v="4"/>
    <x v="2"/>
    <x v="2"/>
    <x v="0"/>
    <x v="9"/>
    <x v="0"/>
  </r>
  <r>
    <x v="5"/>
    <x v="2"/>
    <x v="3"/>
    <x v="4"/>
    <x v="7"/>
    <x v="0"/>
  </r>
  <r>
    <x v="5"/>
    <x v="0"/>
    <x v="1"/>
    <x v="0"/>
    <x v="9"/>
    <x v="1"/>
  </r>
  <r>
    <x v="5"/>
    <x v="0"/>
    <x v="3"/>
    <x v="4"/>
    <x v="0"/>
    <x v="0"/>
  </r>
  <r>
    <x v="5"/>
    <x v="2"/>
    <x v="3"/>
    <x v="2"/>
    <x v="8"/>
    <x v="1"/>
  </r>
  <r>
    <x v="6"/>
    <x v="0"/>
    <x v="2"/>
    <x v="3"/>
    <x v="9"/>
    <x v="1"/>
  </r>
  <r>
    <x v="6"/>
    <x v="1"/>
    <x v="0"/>
    <x v="2"/>
    <x v="9"/>
    <x v="1"/>
  </r>
  <r>
    <x v="6"/>
    <x v="1"/>
    <x v="1"/>
    <x v="4"/>
    <x v="9"/>
    <x v="0"/>
  </r>
  <r>
    <x v="6"/>
    <x v="1"/>
    <x v="3"/>
    <x v="4"/>
    <x v="9"/>
    <x v="1"/>
  </r>
  <r>
    <x v="7"/>
    <x v="1"/>
    <x v="3"/>
    <x v="2"/>
    <x v="5"/>
    <x v="1"/>
  </r>
  <r>
    <x v="7"/>
    <x v="0"/>
    <x v="3"/>
    <x v="0"/>
    <x v="3"/>
    <x v="0"/>
  </r>
  <r>
    <x v="7"/>
    <x v="2"/>
    <x v="1"/>
    <x v="3"/>
    <x v="8"/>
    <x v="0"/>
  </r>
  <r>
    <x v="7"/>
    <x v="0"/>
    <x v="3"/>
    <x v="3"/>
    <x v="1"/>
    <x v="0"/>
  </r>
  <r>
    <x v="8"/>
    <x v="1"/>
    <x v="2"/>
    <x v="0"/>
    <x v="4"/>
    <x v="0"/>
  </r>
  <r>
    <x v="8"/>
    <x v="1"/>
    <x v="3"/>
    <x v="3"/>
    <x v="5"/>
    <x v="0"/>
  </r>
  <r>
    <x v="8"/>
    <x v="1"/>
    <x v="1"/>
    <x v="0"/>
    <x v="3"/>
    <x v="1"/>
  </r>
  <r>
    <x v="8"/>
    <x v="0"/>
    <x v="1"/>
    <x v="2"/>
    <x v="4"/>
    <x v="0"/>
  </r>
  <r>
    <x v="9"/>
    <x v="1"/>
    <x v="1"/>
    <x v="3"/>
    <x v="8"/>
    <x v="0"/>
  </r>
  <r>
    <x v="9"/>
    <x v="0"/>
    <x v="3"/>
    <x v="1"/>
    <x v="3"/>
    <x v="1"/>
  </r>
  <r>
    <x v="9"/>
    <x v="1"/>
    <x v="0"/>
    <x v="4"/>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49FD2B-69FC-4EFF-9A5E-8700CB568DC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B33" firstHeaderRow="1" firstDataRow="1" firstDataCol="1"/>
  <pivotFields count="6">
    <pivotField numFmtId="14" showAll="0">
      <items count="11">
        <item x="0"/>
        <item x="1"/>
        <item x="2"/>
        <item x="3"/>
        <item x="4"/>
        <item x="5"/>
        <item x="6"/>
        <item x="7"/>
        <item x="8"/>
        <item x="9"/>
        <item t="default"/>
      </items>
    </pivotField>
    <pivotField axis="axisRow" showAll="0">
      <items count="4">
        <item x="0"/>
        <item x="2"/>
        <item x="1"/>
        <item t="default"/>
      </items>
    </pivotField>
    <pivotField showAll="0">
      <items count="5">
        <item x="0"/>
        <item x="3"/>
        <item x="1"/>
        <item x="2"/>
        <item t="default"/>
      </items>
    </pivotField>
    <pivotField dataField="1" showAll="0"/>
    <pivotField showAll="0"/>
    <pivotField showAll="0">
      <items count="3">
        <item x="1"/>
        <item x="0"/>
        <item t="default"/>
      </items>
    </pivotField>
  </pivotFields>
  <rowFields count="1">
    <field x="1"/>
  </rowFields>
  <rowItems count="4">
    <i>
      <x/>
    </i>
    <i>
      <x v="1"/>
    </i>
    <i>
      <x v="2"/>
    </i>
    <i t="grand">
      <x/>
    </i>
  </rowItems>
  <colItems count="1">
    <i/>
  </colItems>
  <dataFields count="1">
    <dataField name="Sum of Quantity"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B63EF-0424-4419-8276-3A9419CCD1D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6" firstHeaderRow="1" firstDataRow="1" firstDataCol="1"/>
  <pivotFields count="6">
    <pivotField numFmtId="14" showAll="0">
      <items count="11">
        <item x="0"/>
        <item x="1"/>
        <item x="2"/>
        <item x="3"/>
        <item x="4"/>
        <item x="5"/>
        <item x="6"/>
        <item x="7"/>
        <item x="8"/>
        <item x="9"/>
        <item t="default"/>
      </items>
    </pivotField>
    <pivotField showAll="0">
      <items count="4">
        <item x="0"/>
        <item x="2"/>
        <item x="1"/>
        <item t="default"/>
      </items>
    </pivotField>
    <pivotField showAll="0">
      <items count="5">
        <item x="0"/>
        <item x="3"/>
        <item x="1"/>
        <item x="2"/>
        <item t="default"/>
      </items>
    </pivotField>
    <pivotField showAll="0"/>
    <pivotField showAll="0"/>
    <pivotField axis="axisRow" dataField="1" showAll="0">
      <items count="3">
        <item x="1"/>
        <item x="0"/>
        <item t="default"/>
      </items>
    </pivotField>
  </pivotFields>
  <rowFields count="1">
    <field x="5"/>
  </rowFields>
  <rowItems count="3">
    <i>
      <x/>
    </i>
    <i>
      <x v="1"/>
    </i>
    <i t="grand">
      <x/>
    </i>
  </rowItems>
  <colItems count="1">
    <i/>
  </colItems>
  <dataFields count="1">
    <dataField name="Count of Thumbs Up" fld="5"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13A92-1A87-46A1-933C-ABF13239EAB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20" firstHeaderRow="1" firstDataRow="1" firstDataCol="1"/>
  <pivotFields count="6">
    <pivotField numFmtId="14" showAll="0">
      <items count="11">
        <item x="0"/>
        <item x="1"/>
        <item x="2"/>
        <item x="3"/>
        <item x="4"/>
        <item x="5"/>
        <item x="6"/>
        <item x="7"/>
        <item x="8"/>
        <item x="9"/>
        <item t="default"/>
      </items>
    </pivotField>
    <pivotField showAll="0">
      <items count="4">
        <item x="0"/>
        <item x="2"/>
        <item x="1"/>
        <item t="default"/>
      </items>
    </pivotField>
    <pivotField showAll="0">
      <items count="5">
        <item x="0"/>
        <item x="3"/>
        <item x="1"/>
        <item x="2"/>
        <item t="default"/>
      </items>
    </pivotField>
    <pivotField dataField="1" showAll="0"/>
    <pivotField axis="axisRow" showAll="0">
      <items count="11">
        <item x="0"/>
        <item x="1"/>
        <item x="2"/>
        <item x="3"/>
        <item x="4"/>
        <item x="8"/>
        <item x="6"/>
        <item x="5"/>
        <item x="9"/>
        <item x="7"/>
        <item t="default"/>
      </items>
    </pivotField>
    <pivotField showAll="0">
      <items count="3">
        <item x="1"/>
        <item x="0"/>
        <item t="default"/>
      </items>
    </pivotField>
  </pivotFields>
  <rowFields count="1">
    <field x="4"/>
  </rowFields>
  <rowItems count="11">
    <i>
      <x/>
    </i>
    <i>
      <x v="1"/>
    </i>
    <i>
      <x v="2"/>
    </i>
    <i>
      <x v="3"/>
    </i>
    <i>
      <x v="4"/>
    </i>
    <i>
      <x v="5"/>
    </i>
    <i>
      <x v="6"/>
    </i>
    <i>
      <x v="7"/>
    </i>
    <i>
      <x v="8"/>
    </i>
    <i>
      <x v="9"/>
    </i>
    <i t="grand">
      <x/>
    </i>
  </rowItems>
  <colItems count="1">
    <i/>
  </colItems>
  <dataFields count="1">
    <dataField name="Count of Quantity" fld="3"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4B3A6-B441-43AC-8D75-1F2CE2CF859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6">
    <pivotField numFmtId="14" showAll="0">
      <items count="11">
        <item x="0"/>
        <item x="1"/>
        <item x="2"/>
        <item x="3"/>
        <item x="4"/>
        <item x="5"/>
        <item x="6"/>
        <item x="7"/>
        <item x="8"/>
        <item x="9"/>
        <item t="default"/>
      </items>
    </pivotField>
    <pivotField showAll="0">
      <items count="4">
        <item x="0"/>
        <item x="2"/>
        <item x="1"/>
        <item t="default"/>
      </items>
    </pivotField>
    <pivotField axis="axisRow" showAll="0">
      <items count="5">
        <item x="0"/>
        <item x="3"/>
        <item x="1"/>
        <item x="2"/>
        <item t="default"/>
      </items>
    </pivotField>
    <pivotField dataField="1" showAll="0">
      <items count="6">
        <item x="1"/>
        <item x="0"/>
        <item x="2"/>
        <item x="3"/>
        <item x="4"/>
        <item t="default"/>
      </items>
    </pivotField>
    <pivotField showAll="0">
      <items count="11">
        <item x="0"/>
        <item x="1"/>
        <item x="2"/>
        <item x="3"/>
        <item x="4"/>
        <item x="8"/>
        <item x="6"/>
        <item x="5"/>
        <item x="9"/>
        <item x="7"/>
        <item t="default"/>
      </items>
    </pivotField>
    <pivotField showAll="0">
      <items count="3">
        <item x="1"/>
        <item x="0"/>
        <item t="default"/>
      </items>
    </pivotField>
  </pivotFields>
  <rowFields count="1">
    <field x="2"/>
  </rowFields>
  <rowItems count="5">
    <i>
      <x/>
    </i>
    <i>
      <x v="1"/>
    </i>
    <i>
      <x v="2"/>
    </i>
    <i>
      <x v="3"/>
    </i>
    <i t="grand">
      <x/>
    </i>
  </rowItems>
  <colItems count="1">
    <i/>
  </colItems>
  <dataFields count="1">
    <dataField name="Sum of Quantity" fld="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07CF411-8DAB-4F11-8D4F-510E0741C41B}" sourceName="Date">
  <pivotTables>
    <pivotTable tabId="2" name="PivotTable1"/>
    <pivotTable tabId="2" name="PivotTable2"/>
    <pivotTable tabId="2" name="PivotTable3"/>
    <pivotTable tabId="2" name="PivotTable4"/>
  </pivotTables>
  <data>
    <tabular pivotCacheId="228668225">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Part" xr10:uid="{D5CB6436-05AF-4832-A47C-45775602FE01}" sourceName="Day Part">
  <pivotTables>
    <pivotTable tabId="2" name="PivotTable1"/>
    <pivotTable tabId="2" name="PivotTable2"/>
    <pivotTable tabId="2" name="PivotTable3"/>
    <pivotTable tabId="2" name="PivotTable4"/>
  </pivotTables>
  <data>
    <tabular pivotCacheId="22866822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rger_Name" xr10:uid="{D76F2395-43AC-4B27-B814-E2FE50232C65}" sourceName="Burger Name">
  <pivotTables>
    <pivotTable tabId="2" name="PivotTable1"/>
    <pivotTable tabId="2" name="PivotTable2"/>
    <pivotTable tabId="2" name="PivotTable3"/>
    <pivotTable tabId="2" name="PivotTable4"/>
  </pivotTables>
  <data>
    <tabular pivotCacheId="22866822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umbs_Up" xr10:uid="{C1230A07-D9B2-4841-BC5E-CA3E874B4DE3}" sourceName="Thumbs Up">
  <pivotTables>
    <pivotTable tabId="2" name="PivotTable1"/>
    <pivotTable tabId="2" name="PivotTable2"/>
    <pivotTable tabId="2" name="PivotTable3"/>
    <pivotTable tabId="2" name="PivotTable4"/>
  </pivotTables>
  <data>
    <tabular pivotCacheId="2286682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B6BAB10-F28A-472F-A00F-6E427EB6332C}" cache="Slicer_Date" caption="Date" rowHeight="257175"/>
  <slicer name="Day Part" xr10:uid="{74C792DF-7194-46B7-B2D7-D511DED5A280}" cache="Slicer_Day_Part" caption="Day Part" rowHeight="257175"/>
  <slicer name="Burger Name" xr10:uid="{14A79C82-F9E3-4DD6-9038-0009F0A3DFE7}" cache="Slicer_Burger_Name" caption="Burger Name" startItem="1" rowHeight="257175"/>
  <slicer name="Thumbs Up" xr10:uid="{D18DF997-7972-41EB-845F-F9BF1F8052A0}" cache="Slicer_Thumbs_Up" caption="Thumbs Up"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720FB-5AB6-460B-B1F3-DDF2496AE114}">
  <dimension ref="A1:F39"/>
  <sheetViews>
    <sheetView workbookViewId="0">
      <selection activeCell="H35" sqref="H35"/>
    </sheetView>
  </sheetViews>
  <sheetFormatPr defaultRowHeight="15" x14ac:dyDescent="0.25"/>
  <cols>
    <col min="1" max="1" width="9.42578125" bestFit="1" customWidth="1"/>
    <col min="3" max="3" width="16.85546875" customWidth="1"/>
    <col min="4" max="4" width="8.7109375" bestFit="1" customWidth="1"/>
    <col min="5" max="5" width="14.7109375" customWidth="1"/>
    <col min="6" max="6" width="11.28515625" customWidth="1"/>
  </cols>
  <sheetData>
    <row r="1" spans="1:6" ht="30" x14ac:dyDescent="0.25">
      <c r="A1" s="1" t="s">
        <v>0</v>
      </c>
      <c r="B1" s="1" t="s">
        <v>1</v>
      </c>
      <c r="C1" s="1" t="s">
        <v>2</v>
      </c>
      <c r="D1" s="1" t="s">
        <v>3</v>
      </c>
      <c r="E1" s="1" t="s">
        <v>4</v>
      </c>
      <c r="F1" s="1" t="s">
        <v>5</v>
      </c>
    </row>
    <row r="2" spans="1:6" ht="18" customHeight="1" x14ac:dyDescent="0.25">
      <c r="A2" s="2">
        <v>46082</v>
      </c>
      <c r="B2" s="3" t="s">
        <v>6</v>
      </c>
      <c r="C2" s="3" t="s">
        <v>15</v>
      </c>
      <c r="D2" s="3">
        <v>2</v>
      </c>
      <c r="E2" s="3" t="s">
        <v>7</v>
      </c>
      <c r="F2" s="3" t="s">
        <v>8</v>
      </c>
    </row>
    <row r="3" spans="1:6" x14ac:dyDescent="0.25">
      <c r="A3" s="2">
        <v>46082</v>
      </c>
      <c r="B3" s="3" t="s">
        <v>9</v>
      </c>
      <c r="C3" s="3" t="s">
        <v>16</v>
      </c>
      <c r="D3" s="3">
        <v>1</v>
      </c>
      <c r="E3" s="3" t="s">
        <v>10</v>
      </c>
      <c r="F3" s="3" t="s">
        <v>11</v>
      </c>
    </row>
    <row r="4" spans="1:6" x14ac:dyDescent="0.25">
      <c r="A4" s="2">
        <v>46082</v>
      </c>
      <c r="B4" s="3" t="s">
        <v>12</v>
      </c>
      <c r="C4" s="3" t="s">
        <v>17</v>
      </c>
      <c r="D4" s="3">
        <v>3</v>
      </c>
      <c r="E4" s="3" t="s">
        <v>13</v>
      </c>
      <c r="F4" s="3" t="s">
        <v>8</v>
      </c>
    </row>
    <row r="5" spans="1:6" ht="22.5" customHeight="1" x14ac:dyDescent="0.25">
      <c r="A5" s="2">
        <v>46083</v>
      </c>
      <c r="B5" s="3" t="s">
        <v>6</v>
      </c>
      <c r="C5" s="3" t="s">
        <v>18</v>
      </c>
      <c r="D5" s="3">
        <v>1</v>
      </c>
      <c r="E5" s="3" t="s">
        <v>14</v>
      </c>
      <c r="F5" s="3" t="s">
        <v>11</v>
      </c>
    </row>
    <row r="6" spans="1:6" ht="19.5" customHeight="1" x14ac:dyDescent="0.25">
      <c r="A6" s="2">
        <f>A2 + 1</f>
        <v>46083</v>
      </c>
      <c r="B6" s="3" t="s">
        <v>9</v>
      </c>
      <c r="C6" s="3" t="s">
        <v>15</v>
      </c>
      <c r="D6" s="3">
        <v>2</v>
      </c>
      <c r="E6" s="3" t="s">
        <v>7</v>
      </c>
      <c r="F6" s="3" t="s">
        <v>8</v>
      </c>
    </row>
    <row r="7" spans="1:6" x14ac:dyDescent="0.25">
      <c r="A7" s="2">
        <f t="shared" ref="A7:A39" si="0">A3 + 1</f>
        <v>46083</v>
      </c>
      <c r="B7" s="3" t="s">
        <v>12</v>
      </c>
      <c r="C7" s="3" t="s">
        <v>18</v>
      </c>
      <c r="D7" s="3">
        <v>4</v>
      </c>
      <c r="E7" s="3" t="s">
        <v>19</v>
      </c>
      <c r="F7" s="3" t="s">
        <v>11</v>
      </c>
    </row>
    <row r="8" spans="1:6" x14ac:dyDescent="0.25">
      <c r="A8" s="2">
        <f t="shared" si="0"/>
        <v>46083</v>
      </c>
      <c r="B8" t="str">
        <f ca="1">CHOOSE(RANDBETWEEN(1,3),"Breakfast","Lunch","Dinner")</f>
        <v>Dinner</v>
      </c>
      <c r="C8" t="str">
        <f ca="1">CHOOSE(RANDBETWEEN(1,4),"Bacon Cheddar","Original","Veggie","Chicken Strips")</f>
        <v>Original</v>
      </c>
      <c r="D8">
        <f ca="1">RANDBETWEEN(1,5)</f>
        <v>3</v>
      </c>
      <c r="E8" t="str">
        <f ca="1">"C" &amp; TEXT(RANDBETWEEN(1,10),"000")</f>
        <v>C007</v>
      </c>
      <c r="F8" t="str">
        <f ca="1">IF(RAND()&lt;0.7,"Yes","No")</f>
        <v>Yes</v>
      </c>
    </row>
    <row r="9" spans="1:6" x14ac:dyDescent="0.25">
      <c r="A9" s="2">
        <f t="shared" si="0"/>
        <v>46084</v>
      </c>
      <c r="B9" t="str">
        <f t="shared" ref="B9:B39" ca="1" si="1">CHOOSE(RANDBETWEEN(1,3),"Breakfast","Lunch","Dinner")</f>
        <v>Breakfast</v>
      </c>
      <c r="C9" t="str">
        <f t="shared" ref="C9:C39" ca="1" si="2">CHOOSE(RANDBETWEEN(1,4),"Bacon Cheddar","Original","Veggie","Chicken Strips")</f>
        <v>Bacon Cheddar</v>
      </c>
      <c r="D9">
        <f t="shared" ref="D9:D39" ca="1" si="3">RANDBETWEEN(1,5)</f>
        <v>4</v>
      </c>
      <c r="E9" t="str">
        <f t="shared" ref="E9:E39" ca="1" si="4">"C" &amp; TEXT(RANDBETWEEN(1,10),"000")</f>
        <v>C003</v>
      </c>
      <c r="F9" t="str">
        <f t="shared" ref="F9:F39" ca="1" si="5">IF(RAND()&lt;0.7,"Yes","No")</f>
        <v>No</v>
      </c>
    </row>
    <row r="10" spans="1:6" x14ac:dyDescent="0.25">
      <c r="A10" s="2">
        <f t="shared" si="0"/>
        <v>46084</v>
      </c>
      <c r="B10" t="str">
        <f t="shared" ca="1" si="1"/>
        <v>Dinner</v>
      </c>
      <c r="C10" t="str">
        <f t="shared" ca="1" si="2"/>
        <v>Veggie</v>
      </c>
      <c r="D10">
        <f t="shared" ca="1" si="3"/>
        <v>4</v>
      </c>
      <c r="E10" t="str">
        <f t="shared" ca="1" si="4"/>
        <v>C001</v>
      </c>
      <c r="F10" t="str">
        <f t="shared" ca="1" si="5"/>
        <v>No</v>
      </c>
    </row>
    <row r="11" spans="1:6" x14ac:dyDescent="0.25">
      <c r="A11" s="2">
        <f t="shared" si="0"/>
        <v>46084</v>
      </c>
      <c r="B11" t="str">
        <f t="shared" ca="1" si="1"/>
        <v>Dinner</v>
      </c>
      <c r="C11" t="str">
        <f t="shared" ca="1" si="2"/>
        <v>Veggie</v>
      </c>
      <c r="D11">
        <f t="shared" ca="1" si="3"/>
        <v>2</v>
      </c>
      <c r="E11" t="str">
        <f t="shared" ca="1" si="4"/>
        <v>C003</v>
      </c>
      <c r="F11" t="str">
        <f t="shared" ca="1" si="5"/>
        <v>No</v>
      </c>
    </row>
    <row r="12" spans="1:6" x14ac:dyDescent="0.25">
      <c r="A12" s="2">
        <f t="shared" si="0"/>
        <v>46084</v>
      </c>
      <c r="B12" t="str">
        <f t="shared" ca="1" si="1"/>
        <v>Dinner</v>
      </c>
      <c r="C12" t="str">
        <f t="shared" ca="1" si="2"/>
        <v>Original</v>
      </c>
      <c r="D12">
        <f t="shared" ca="1" si="3"/>
        <v>1</v>
      </c>
      <c r="E12" t="str">
        <f t="shared" ca="1" si="4"/>
        <v>C001</v>
      </c>
      <c r="F12" t="str">
        <f t="shared" ca="1" si="5"/>
        <v>Yes</v>
      </c>
    </row>
    <row r="13" spans="1:6" x14ac:dyDescent="0.25">
      <c r="A13" s="2">
        <f t="shared" si="0"/>
        <v>46085</v>
      </c>
      <c r="B13" t="str">
        <f t="shared" ca="1" si="1"/>
        <v>Breakfast</v>
      </c>
      <c r="C13" t="str">
        <f t="shared" ca="1" si="2"/>
        <v>Bacon Cheddar</v>
      </c>
      <c r="D13">
        <f t="shared" ca="1" si="3"/>
        <v>3</v>
      </c>
      <c r="E13" t="str">
        <f t="shared" ca="1" si="4"/>
        <v>C010</v>
      </c>
      <c r="F13" t="str">
        <f t="shared" ca="1" si="5"/>
        <v>Yes</v>
      </c>
    </row>
    <row r="14" spans="1:6" x14ac:dyDescent="0.25">
      <c r="A14" s="2">
        <f t="shared" si="0"/>
        <v>46085</v>
      </c>
      <c r="B14" t="str">
        <f t="shared" ca="1" si="1"/>
        <v>Breakfast</v>
      </c>
      <c r="C14" t="str">
        <f t="shared" ca="1" si="2"/>
        <v>Bacon Cheddar</v>
      </c>
      <c r="D14">
        <f t="shared" ca="1" si="3"/>
        <v>3</v>
      </c>
      <c r="E14" t="str">
        <f t="shared" ca="1" si="4"/>
        <v>C010</v>
      </c>
      <c r="F14" t="str">
        <f t="shared" ca="1" si="5"/>
        <v>Yes</v>
      </c>
    </row>
    <row r="15" spans="1:6" x14ac:dyDescent="0.25">
      <c r="A15" s="2">
        <f t="shared" si="0"/>
        <v>46085</v>
      </c>
      <c r="B15" t="str">
        <f t="shared" ca="1" si="1"/>
        <v>Dinner</v>
      </c>
      <c r="C15" t="str">
        <f t="shared" ca="1" si="2"/>
        <v>Bacon Cheddar</v>
      </c>
      <c r="D15">
        <f t="shared" ca="1" si="3"/>
        <v>5</v>
      </c>
      <c r="E15" t="str">
        <f t="shared" ca="1" si="4"/>
        <v>C008</v>
      </c>
      <c r="F15" t="str">
        <f t="shared" ca="1" si="5"/>
        <v>Yes</v>
      </c>
    </row>
    <row r="16" spans="1:6" x14ac:dyDescent="0.25">
      <c r="A16" s="2">
        <f t="shared" si="0"/>
        <v>46085</v>
      </c>
      <c r="B16" t="str">
        <f t="shared" ca="1" si="1"/>
        <v>Lunch</v>
      </c>
      <c r="C16" t="str">
        <f t="shared" ca="1" si="2"/>
        <v>Veggie</v>
      </c>
      <c r="D16">
        <f t="shared" ca="1" si="3"/>
        <v>1</v>
      </c>
      <c r="E16" t="str">
        <f t="shared" ca="1" si="4"/>
        <v>C004</v>
      </c>
      <c r="F16" t="str">
        <f t="shared" ca="1" si="5"/>
        <v>Yes</v>
      </c>
    </row>
    <row r="17" spans="1:6" x14ac:dyDescent="0.25">
      <c r="A17" s="2">
        <f t="shared" si="0"/>
        <v>46086</v>
      </c>
      <c r="B17" t="str">
        <f t="shared" ca="1" si="1"/>
        <v>Lunch</v>
      </c>
      <c r="C17" t="str">
        <f t="shared" ca="1" si="2"/>
        <v>Veggie</v>
      </c>
      <c r="D17">
        <f t="shared" ca="1" si="3"/>
        <v>3</v>
      </c>
      <c r="E17" t="str">
        <f t="shared" ca="1" si="4"/>
        <v>C010</v>
      </c>
      <c r="F17" t="str">
        <f t="shared" ca="1" si="5"/>
        <v>Yes</v>
      </c>
    </row>
    <row r="18" spans="1:6" x14ac:dyDescent="0.25">
      <c r="A18" s="2">
        <f t="shared" si="0"/>
        <v>46086</v>
      </c>
      <c r="B18" t="str">
        <f t="shared" ca="1" si="1"/>
        <v>Breakfast</v>
      </c>
      <c r="C18" t="str">
        <f t="shared" ca="1" si="2"/>
        <v>Bacon Cheddar</v>
      </c>
      <c r="D18">
        <f t="shared" ca="1" si="3"/>
        <v>3</v>
      </c>
      <c r="E18" t="str">
        <f t="shared" ca="1" si="4"/>
        <v>C002</v>
      </c>
      <c r="F18" t="str">
        <f t="shared" ca="1" si="5"/>
        <v>Yes</v>
      </c>
    </row>
    <row r="19" spans="1:6" x14ac:dyDescent="0.25">
      <c r="A19" s="2">
        <f t="shared" si="0"/>
        <v>46086</v>
      </c>
      <c r="B19" t="str">
        <f t="shared" ca="1" si="1"/>
        <v>Lunch</v>
      </c>
      <c r="C19" t="str">
        <f t="shared" ca="1" si="2"/>
        <v>Veggie</v>
      </c>
      <c r="D19">
        <f t="shared" ca="1" si="3"/>
        <v>2</v>
      </c>
      <c r="E19" t="str">
        <f t="shared" ca="1" si="4"/>
        <v>C005</v>
      </c>
      <c r="F19" t="str">
        <f t="shared" ca="1" si="5"/>
        <v>Yes</v>
      </c>
    </row>
    <row r="20" spans="1:6" x14ac:dyDescent="0.25">
      <c r="A20" s="2">
        <f t="shared" si="0"/>
        <v>46086</v>
      </c>
      <c r="B20" t="str">
        <f t="shared" ca="1" si="1"/>
        <v>Breakfast</v>
      </c>
      <c r="C20" t="str">
        <f t="shared" ca="1" si="2"/>
        <v>Chicken Strips</v>
      </c>
      <c r="D20">
        <f t="shared" ca="1" si="3"/>
        <v>4</v>
      </c>
      <c r="E20" t="str">
        <f t="shared" ca="1" si="4"/>
        <v>C005</v>
      </c>
      <c r="F20" t="str">
        <f t="shared" ca="1" si="5"/>
        <v>Yes</v>
      </c>
    </row>
    <row r="21" spans="1:6" x14ac:dyDescent="0.25">
      <c r="A21" s="2">
        <f t="shared" si="0"/>
        <v>46087</v>
      </c>
      <c r="B21" t="str">
        <f t="shared" ca="1" si="1"/>
        <v>Dinner</v>
      </c>
      <c r="C21" t="str">
        <f t="shared" ca="1" si="2"/>
        <v>Veggie</v>
      </c>
      <c r="D21">
        <f t="shared" ca="1" si="3"/>
        <v>5</v>
      </c>
      <c r="E21" t="str">
        <f t="shared" ca="1" si="4"/>
        <v>C010</v>
      </c>
      <c r="F21" t="str">
        <f t="shared" ca="1" si="5"/>
        <v>Yes</v>
      </c>
    </row>
    <row r="22" spans="1:6" x14ac:dyDescent="0.25">
      <c r="A22" s="2">
        <f t="shared" si="0"/>
        <v>46087</v>
      </c>
      <c r="B22" t="str">
        <f t="shared" ca="1" si="1"/>
        <v>Lunch</v>
      </c>
      <c r="C22" t="str">
        <f t="shared" ca="1" si="2"/>
        <v>Original</v>
      </c>
      <c r="D22">
        <f t="shared" ca="1" si="3"/>
        <v>3</v>
      </c>
      <c r="E22" t="str">
        <f t="shared" ca="1" si="4"/>
        <v>C002</v>
      </c>
      <c r="F22" t="str">
        <f t="shared" ca="1" si="5"/>
        <v>No</v>
      </c>
    </row>
    <row r="23" spans="1:6" x14ac:dyDescent="0.25">
      <c r="A23" s="2">
        <f t="shared" si="0"/>
        <v>46087</v>
      </c>
      <c r="B23" t="str">
        <f t="shared" ca="1" si="1"/>
        <v>Breakfast</v>
      </c>
      <c r="C23" t="str">
        <f t="shared" ca="1" si="2"/>
        <v>Bacon Cheddar</v>
      </c>
      <c r="D23">
        <f t="shared" ca="1" si="3"/>
        <v>1</v>
      </c>
      <c r="E23" t="str">
        <f t="shared" ca="1" si="4"/>
        <v>C006</v>
      </c>
      <c r="F23" t="str">
        <f t="shared" ca="1" si="5"/>
        <v>Yes</v>
      </c>
    </row>
    <row r="24" spans="1:6" x14ac:dyDescent="0.25">
      <c r="A24" s="2">
        <f t="shared" si="0"/>
        <v>46087</v>
      </c>
      <c r="B24" t="str">
        <f t="shared" ca="1" si="1"/>
        <v>Lunch</v>
      </c>
      <c r="C24" t="str">
        <f t="shared" ca="1" si="2"/>
        <v>Bacon Cheddar</v>
      </c>
      <c r="D24">
        <f t="shared" ca="1" si="3"/>
        <v>4</v>
      </c>
      <c r="E24" t="str">
        <f t="shared" ca="1" si="4"/>
        <v>C009</v>
      </c>
      <c r="F24" t="str">
        <f t="shared" ca="1" si="5"/>
        <v>Yes</v>
      </c>
    </row>
    <row r="25" spans="1:6" x14ac:dyDescent="0.25">
      <c r="A25" s="2">
        <f t="shared" si="0"/>
        <v>46088</v>
      </c>
      <c r="B25" t="str">
        <f t="shared" ca="1" si="1"/>
        <v>Lunch</v>
      </c>
      <c r="C25" t="str">
        <f t="shared" ca="1" si="2"/>
        <v>Chicken Strips</v>
      </c>
      <c r="D25">
        <f t="shared" ca="1" si="3"/>
        <v>1</v>
      </c>
      <c r="E25" t="str">
        <f t="shared" ca="1" si="4"/>
        <v>C010</v>
      </c>
      <c r="F25" t="str">
        <f t="shared" ca="1" si="5"/>
        <v>Yes</v>
      </c>
    </row>
    <row r="26" spans="1:6" x14ac:dyDescent="0.25">
      <c r="A26" s="2">
        <f t="shared" si="0"/>
        <v>46088</v>
      </c>
      <c r="B26" t="str">
        <f t="shared" ca="1" si="1"/>
        <v>Lunch</v>
      </c>
      <c r="C26" t="str">
        <f t="shared" ca="1" si="2"/>
        <v>Veggie</v>
      </c>
      <c r="D26">
        <f t="shared" ca="1" si="3"/>
        <v>5</v>
      </c>
      <c r="E26" t="str">
        <f t="shared" ca="1" si="4"/>
        <v>C003</v>
      </c>
      <c r="F26" t="str">
        <f t="shared" ca="1" si="5"/>
        <v>Yes</v>
      </c>
    </row>
    <row r="27" spans="1:6" x14ac:dyDescent="0.25">
      <c r="A27" s="2">
        <f t="shared" si="0"/>
        <v>46088</v>
      </c>
      <c r="B27" t="str">
        <f t="shared" ca="1" si="1"/>
        <v>Lunch</v>
      </c>
      <c r="C27" t="str">
        <f t="shared" ca="1" si="2"/>
        <v>Original</v>
      </c>
      <c r="D27">
        <f t="shared" ca="1" si="3"/>
        <v>2</v>
      </c>
      <c r="E27" t="str">
        <f t="shared" ca="1" si="4"/>
        <v>C007</v>
      </c>
      <c r="F27" t="str">
        <f t="shared" ca="1" si="5"/>
        <v>Yes</v>
      </c>
    </row>
    <row r="28" spans="1:6" x14ac:dyDescent="0.25">
      <c r="A28" s="2">
        <f t="shared" si="0"/>
        <v>46088</v>
      </c>
      <c r="B28" t="str">
        <f t="shared" ca="1" si="1"/>
        <v>Dinner</v>
      </c>
      <c r="C28" t="str">
        <f t="shared" ca="1" si="2"/>
        <v>Chicken Strips</v>
      </c>
      <c r="D28">
        <f t="shared" ca="1" si="3"/>
        <v>4</v>
      </c>
      <c r="E28" t="str">
        <f t="shared" ca="1" si="4"/>
        <v>C008</v>
      </c>
      <c r="F28" t="str">
        <f t="shared" ca="1" si="5"/>
        <v>No</v>
      </c>
    </row>
    <row r="29" spans="1:6" x14ac:dyDescent="0.25">
      <c r="A29" s="2">
        <f t="shared" si="0"/>
        <v>46089</v>
      </c>
      <c r="B29" t="str">
        <f t="shared" ca="1" si="1"/>
        <v>Lunch</v>
      </c>
      <c r="C29" t="str">
        <f t="shared" ca="1" si="2"/>
        <v>Bacon Cheddar</v>
      </c>
      <c r="D29">
        <f t="shared" ca="1" si="3"/>
        <v>2</v>
      </c>
      <c r="E29" t="str">
        <f t="shared" ca="1" si="4"/>
        <v>C004</v>
      </c>
      <c r="F29" t="str">
        <f t="shared" ca="1" si="5"/>
        <v>Yes</v>
      </c>
    </row>
    <row r="30" spans="1:6" x14ac:dyDescent="0.25">
      <c r="A30" s="2">
        <f t="shared" si="0"/>
        <v>46089</v>
      </c>
      <c r="B30" t="str">
        <f t="shared" ca="1" si="1"/>
        <v>Breakfast</v>
      </c>
      <c r="C30" t="str">
        <f t="shared" ca="1" si="2"/>
        <v>Veggie</v>
      </c>
      <c r="D30">
        <f t="shared" ca="1" si="3"/>
        <v>3</v>
      </c>
      <c r="E30" t="str">
        <f t="shared" ca="1" si="4"/>
        <v>C003</v>
      </c>
      <c r="F30" t="str">
        <f t="shared" ca="1" si="5"/>
        <v>Yes</v>
      </c>
    </row>
    <row r="31" spans="1:6" x14ac:dyDescent="0.25">
      <c r="A31" s="2">
        <f t="shared" si="0"/>
        <v>46089</v>
      </c>
      <c r="B31" t="str">
        <f t="shared" ca="1" si="1"/>
        <v>Dinner</v>
      </c>
      <c r="C31" t="str">
        <f t="shared" ca="1" si="2"/>
        <v>Bacon Cheddar</v>
      </c>
      <c r="D31">
        <f t="shared" ca="1" si="3"/>
        <v>5</v>
      </c>
      <c r="E31" t="str">
        <f t="shared" ca="1" si="4"/>
        <v>C001</v>
      </c>
      <c r="F31" t="str">
        <f t="shared" ca="1" si="5"/>
        <v>No</v>
      </c>
    </row>
    <row r="32" spans="1:6" x14ac:dyDescent="0.25">
      <c r="A32" s="2">
        <f t="shared" si="0"/>
        <v>46089</v>
      </c>
      <c r="B32" t="str">
        <f t="shared" ca="1" si="1"/>
        <v>Dinner</v>
      </c>
      <c r="C32" t="str">
        <f t="shared" ca="1" si="2"/>
        <v>Original</v>
      </c>
      <c r="D32">
        <f t="shared" ca="1" si="3"/>
        <v>4</v>
      </c>
      <c r="E32" t="str">
        <f t="shared" ca="1" si="4"/>
        <v>C004</v>
      </c>
      <c r="F32" t="str">
        <f t="shared" ca="1" si="5"/>
        <v>No</v>
      </c>
    </row>
    <row r="33" spans="1:6" x14ac:dyDescent="0.25">
      <c r="A33" s="2">
        <f t="shared" si="0"/>
        <v>46090</v>
      </c>
      <c r="B33" t="str">
        <f t="shared" ca="1" si="1"/>
        <v>Breakfast</v>
      </c>
      <c r="C33" t="str">
        <f t="shared" ca="1" si="2"/>
        <v>Chicken Strips</v>
      </c>
      <c r="D33">
        <f t="shared" ca="1" si="3"/>
        <v>4</v>
      </c>
      <c r="E33" t="str">
        <f t="shared" ca="1" si="4"/>
        <v>C007</v>
      </c>
      <c r="F33" t="str">
        <f t="shared" ca="1" si="5"/>
        <v>Yes</v>
      </c>
    </row>
    <row r="34" spans="1:6" x14ac:dyDescent="0.25">
      <c r="A34" s="2">
        <f t="shared" si="0"/>
        <v>46090</v>
      </c>
      <c r="B34" t="str">
        <f t="shared" ca="1" si="1"/>
        <v>Breakfast</v>
      </c>
      <c r="C34" t="str">
        <f t="shared" ca="1" si="2"/>
        <v>Original</v>
      </c>
      <c r="D34">
        <f t="shared" ca="1" si="3"/>
        <v>5</v>
      </c>
      <c r="E34" t="str">
        <f t="shared" ca="1" si="4"/>
        <v>C009</v>
      </c>
      <c r="F34" t="str">
        <f t="shared" ca="1" si="5"/>
        <v>No</v>
      </c>
    </row>
    <row r="35" spans="1:6" x14ac:dyDescent="0.25">
      <c r="A35" s="2">
        <f t="shared" si="0"/>
        <v>46090</v>
      </c>
      <c r="B35" t="str">
        <f t="shared" ca="1" si="1"/>
        <v>Dinner</v>
      </c>
      <c r="C35" t="str">
        <f t="shared" ca="1" si="2"/>
        <v>Chicken Strips</v>
      </c>
      <c r="D35">
        <f t="shared" ca="1" si="3"/>
        <v>1</v>
      </c>
      <c r="E35" t="str">
        <f t="shared" ca="1" si="4"/>
        <v>C008</v>
      </c>
      <c r="F35" t="str">
        <f t="shared" ca="1" si="5"/>
        <v>Yes</v>
      </c>
    </row>
    <row r="36" spans="1:6" x14ac:dyDescent="0.25">
      <c r="A36" s="2">
        <f t="shared" si="0"/>
        <v>46090</v>
      </c>
      <c r="B36" t="str">
        <f t="shared" ca="1" si="1"/>
        <v>Breakfast</v>
      </c>
      <c r="C36" t="str">
        <f t="shared" ca="1" si="2"/>
        <v>Original</v>
      </c>
      <c r="D36">
        <f t="shared" ca="1" si="3"/>
        <v>1</v>
      </c>
      <c r="E36" t="str">
        <f t="shared" ca="1" si="4"/>
        <v>C005</v>
      </c>
      <c r="F36" t="str">
        <f t="shared" ca="1" si="5"/>
        <v>No</v>
      </c>
    </row>
    <row r="37" spans="1:6" x14ac:dyDescent="0.25">
      <c r="A37" s="2">
        <f t="shared" si="0"/>
        <v>46091</v>
      </c>
      <c r="B37" t="str">
        <f t="shared" ca="1" si="1"/>
        <v>Breakfast</v>
      </c>
      <c r="C37" t="str">
        <f t="shared" ca="1" si="2"/>
        <v>Chicken Strips</v>
      </c>
      <c r="D37">
        <f t="shared" ca="1" si="3"/>
        <v>3</v>
      </c>
      <c r="E37" t="str">
        <f t="shared" ca="1" si="4"/>
        <v>C010</v>
      </c>
      <c r="F37" t="str">
        <f t="shared" ca="1" si="5"/>
        <v>Yes</v>
      </c>
    </row>
    <row r="38" spans="1:6" x14ac:dyDescent="0.25">
      <c r="A38" s="2">
        <f t="shared" si="0"/>
        <v>46091</v>
      </c>
      <c r="B38" t="str">
        <f t="shared" ca="1" si="1"/>
        <v>Dinner</v>
      </c>
      <c r="C38" t="str">
        <f t="shared" ca="1" si="2"/>
        <v>Original</v>
      </c>
      <c r="D38">
        <f t="shared" ca="1" si="3"/>
        <v>4</v>
      </c>
      <c r="E38" t="str">
        <f t="shared" ca="1" si="4"/>
        <v>C002</v>
      </c>
      <c r="F38" t="str">
        <f t="shared" ca="1" si="5"/>
        <v>No</v>
      </c>
    </row>
    <row r="39" spans="1:6" x14ac:dyDescent="0.25">
      <c r="A39" s="2">
        <f t="shared" si="0"/>
        <v>46091</v>
      </c>
      <c r="B39" t="str">
        <f t="shared" ca="1" si="1"/>
        <v>Lunch</v>
      </c>
      <c r="C39" t="str">
        <f t="shared" ca="1" si="2"/>
        <v>Original</v>
      </c>
      <c r="D39">
        <f t="shared" ca="1" si="3"/>
        <v>5</v>
      </c>
      <c r="E39" t="str">
        <f t="shared" ca="1" si="4"/>
        <v>C009</v>
      </c>
      <c r="F39" t="str">
        <f t="shared" ca="1" si="5"/>
        <v>Yes</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2445-FC48-4AB4-94CD-842D7CDE3C0B}">
  <dimension ref="A1:B33"/>
  <sheetViews>
    <sheetView workbookViewId="0">
      <selection activeCell="B18" sqref="B18"/>
    </sheetView>
  </sheetViews>
  <sheetFormatPr defaultRowHeight="15" x14ac:dyDescent="0.25"/>
  <cols>
    <col min="1" max="1" width="13.42578125" bestFit="1" customWidth="1"/>
    <col min="2" max="2" width="15.5703125" bestFit="1" customWidth="1"/>
  </cols>
  <sheetData>
    <row r="1" spans="1:2" x14ac:dyDescent="0.25">
      <c r="A1" s="4" t="s">
        <v>25</v>
      </c>
      <c r="B1" t="s">
        <v>27</v>
      </c>
    </row>
    <row r="2" spans="1:2" x14ac:dyDescent="0.25">
      <c r="A2" s="5" t="s">
        <v>15</v>
      </c>
      <c r="B2" s="6">
        <v>18</v>
      </c>
    </row>
    <row r="3" spans="1:2" x14ac:dyDescent="0.25">
      <c r="A3" s="5" t="s">
        <v>18</v>
      </c>
      <c r="B3" s="6">
        <v>48</v>
      </c>
    </row>
    <row r="4" spans="1:2" x14ac:dyDescent="0.25">
      <c r="A4" s="5" t="s">
        <v>16</v>
      </c>
      <c r="B4" s="6">
        <v>24</v>
      </c>
    </row>
    <row r="5" spans="1:2" x14ac:dyDescent="0.25">
      <c r="A5" s="5" t="s">
        <v>17</v>
      </c>
      <c r="B5" s="6">
        <v>24</v>
      </c>
    </row>
    <row r="6" spans="1:2" x14ac:dyDescent="0.25">
      <c r="A6" s="5" t="s">
        <v>26</v>
      </c>
      <c r="B6" s="6">
        <v>114</v>
      </c>
    </row>
    <row r="9" spans="1:2" x14ac:dyDescent="0.25">
      <c r="A9" s="4" t="s">
        <v>25</v>
      </c>
      <c r="B9" t="s">
        <v>28</v>
      </c>
    </row>
    <row r="10" spans="1:2" x14ac:dyDescent="0.25">
      <c r="A10" s="5" t="s">
        <v>7</v>
      </c>
      <c r="B10" s="6">
        <v>3</v>
      </c>
    </row>
    <row r="11" spans="1:2" x14ac:dyDescent="0.25">
      <c r="A11" s="5" t="s">
        <v>10</v>
      </c>
      <c r="B11" s="6">
        <v>5</v>
      </c>
    </row>
    <row r="12" spans="1:2" x14ac:dyDescent="0.25">
      <c r="A12" s="5" t="s">
        <v>13</v>
      </c>
      <c r="B12" s="6">
        <v>2</v>
      </c>
    </row>
    <row r="13" spans="1:2" x14ac:dyDescent="0.25">
      <c r="A13" s="5" t="s">
        <v>14</v>
      </c>
      <c r="B13" s="6">
        <v>5</v>
      </c>
    </row>
    <row r="14" spans="1:2" x14ac:dyDescent="0.25">
      <c r="A14" s="5" t="s">
        <v>19</v>
      </c>
      <c r="B14" s="6">
        <v>4</v>
      </c>
    </row>
    <row r="15" spans="1:2" x14ac:dyDescent="0.25">
      <c r="A15" s="5" t="s">
        <v>20</v>
      </c>
      <c r="B15" s="6">
        <v>4</v>
      </c>
    </row>
    <row r="16" spans="1:2" x14ac:dyDescent="0.25">
      <c r="A16" s="5" t="s">
        <v>21</v>
      </c>
      <c r="B16" s="6">
        <v>1</v>
      </c>
    </row>
    <row r="17" spans="1:2" x14ac:dyDescent="0.25">
      <c r="A17" s="5" t="s">
        <v>22</v>
      </c>
      <c r="B17" s="6">
        <v>5</v>
      </c>
    </row>
    <row r="18" spans="1:2" x14ac:dyDescent="0.25">
      <c r="A18" s="5" t="s">
        <v>23</v>
      </c>
      <c r="B18" s="6">
        <v>7</v>
      </c>
    </row>
    <row r="19" spans="1:2" x14ac:dyDescent="0.25">
      <c r="A19" s="5" t="s">
        <v>24</v>
      </c>
      <c r="B19" s="6">
        <v>2</v>
      </c>
    </row>
    <row r="20" spans="1:2" x14ac:dyDescent="0.25">
      <c r="A20" s="5" t="s">
        <v>26</v>
      </c>
      <c r="B20" s="6">
        <v>38</v>
      </c>
    </row>
    <row r="23" spans="1:2" x14ac:dyDescent="0.25">
      <c r="A23" s="4" t="s">
        <v>25</v>
      </c>
      <c r="B23" t="s">
        <v>29</v>
      </c>
    </row>
    <row r="24" spans="1:2" x14ac:dyDescent="0.25">
      <c r="A24" s="5" t="s">
        <v>11</v>
      </c>
      <c r="B24" s="6">
        <v>12</v>
      </c>
    </row>
    <row r="25" spans="1:2" x14ac:dyDescent="0.25">
      <c r="A25" s="5" t="s">
        <v>8</v>
      </c>
      <c r="B25" s="6">
        <v>26</v>
      </c>
    </row>
    <row r="26" spans="1:2" x14ac:dyDescent="0.25">
      <c r="A26" s="5" t="s">
        <v>26</v>
      </c>
      <c r="B26" s="6">
        <v>38</v>
      </c>
    </row>
    <row r="29" spans="1:2" x14ac:dyDescent="0.25">
      <c r="A29" s="4" t="s">
        <v>25</v>
      </c>
      <c r="B29" t="s">
        <v>27</v>
      </c>
    </row>
    <row r="30" spans="1:2" x14ac:dyDescent="0.25">
      <c r="A30" s="5" t="s">
        <v>6</v>
      </c>
      <c r="B30" s="6">
        <v>40</v>
      </c>
    </row>
    <row r="31" spans="1:2" x14ac:dyDescent="0.25">
      <c r="A31" s="5" t="s">
        <v>12</v>
      </c>
      <c r="B31" s="6">
        <v>28</v>
      </c>
    </row>
    <row r="32" spans="1:2" x14ac:dyDescent="0.25">
      <c r="A32" s="5" t="s">
        <v>9</v>
      </c>
      <c r="B32" s="6">
        <v>46</v>
      </c>
    </row>
    <row r="33" spans="1:2" x14ac:dyDescent="0.25">
      <c r="A33" s="5" t="s">
        <v>26</v>
      </c>
      <c r="B33" s="6">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16F1-AD74-4724-AD2F-2DF26F03D6A8}">
  <dimension ref="A1:Y39"/>
  <sheetViews>
    <sheetView tabSelected="1" workbookViewId="0">
      <selection activeCell="R1" sqref="R1:Y39"/>
    </sheetView>
  </sheetViews>
  <sheetFormatPr defaultRowHeight="15" x14ac:dyDescent="0.25"/>
  <sheetData>
    <row r="1" spans="1:25" x14ac:dyDescent="0.25">
      <c r="A1" s="7" t="s">
        <v>30</v>
      </c>
      <c r="B1" s="8"/>
      <c r="C1" s="8"/>
      <c r="D1" s="8"/>
      <c r="E1" s="8"/>
      <c r="F1" s="8"/>
      <c r="G1" s="8"/>
      <c r="H1" s="8"/>
      <c r="I1" s="8"/>
      <c r="J1" s="8"/>
      <c r="K1" s="8"/>
      <c r="L1" s="8"/>
      <c r="M1" s="8"/>
      <c r="N1" s="8"/>
      <c r="O1" s="8"/>
      <c r="P1" s="8"/>
      <c r="Q1" s="8"/>
      <c r="R1" s="8"/>
      <c r="S1" s="8"/>
      <c r="T1" s="8"/>
      <c r="U1" s="8"/>
      <c r="V1" s="8"/>
      <c r="W1" s="8"/>
      <c r="X1" s="8"/>
      <c r="Y1" s="8"/>
    </row>
    <row r="2" spans="1:25" x14ac:dyDescent="0.25">
      <c r="A2" s="8"/>
      <c r="B2" s="8"/>
      <c r="C2" s="8"/>
      <c r="D2" s="8"/>
      <c r="E2" s="8"/>
      <c r="F2" s="8"/>
      <c r="G2" s="8"/>
      <c r="H2" s="8"/>
      <c r="I2" s="8"/>
      <c r="J2" s="8"/>
      <c r="K2" s="8"/>
      <c r="L2" s="8"/>
      <c r="M2" s="8"/>
      <c r="N2" s="8"/>
      <c r="O2" s="8"/>
      <c r="P2" s="8"/>
      <c r="Q2" s="8"/>
      <c r="R2" s="8"/>
      <c r="S2" s="8"/>
      <c r="T2" s="8"/>
      <c r="U2" s="8"/>
      <c r="V2" s="8"/>
      <c r="W2" s="8"/>
      <c r="X2" s="8"/>
      <c r="Y2" s="8"/>
    </row>
    <row r="3" spans="1:25" x14ac:dyDescent="0.25">
      <c r="A3" s="8"/>
      <c r="B3" s="8"/>
      <c r="C3" s="8"/>
      <c r="D3" s="8"/>
      <c r="E3" s="8"/>
      <c r="F3" s="8"/>
      <c r="G3" s="8"/>
      <c r="H3" s="8"/>
      <c r="I3" s="8"/>
      <c r="J3" s="8"/>
      <c r="K3" s="8"/>
      <c r="L3" s="8"/>
      <c r="M3" s="8"/>
      <c r="N3" s="8"/>
      <c r="O3" s="8"/>
      <c r="P3" s="8"/>
      <c r="Q3" s="8"/>
      <c r="R3" s="8"/>
      <c r="S3" s="8"/>
      <c r="T3" s="8"/>
      <c r="U3" s="8"/>
      <c r="V3" s="8"/>
      <c r="W3" s="8"/>
      <c r="X3" s="8"/>
      <c r="Y3" s="8"/>
    </row>
    <row r="4" spans="1:25" x14ac:dyDescent="0.25">
      <c r="A4" s="8"/>
      <c r="B4" s="8"/>
      <c r="C4" s="8"/>
      <c r="D4" s="8"/>
      <c r="E4" s="8"/>
      <c r="F4" s="8"/>
      <c r="G4" s="8"/>
      <c r="H4" s="8"/>
      <c r="I4" s="8"/>
      <c r="J4" s="8"/>
      <c r="K4" s="8"/>
      <c r="L4" s="8"/>
      <c r="M4" s="8"/>
      <c r="N4" s="8"/>
      <c r="O4" s="8"/>
      <c r="P4" s="8"/>
      <c r="Q4" s="8"/>
      <c r="R4" s="8"/>
      <c r="S4" s="8"/>
      <c r="T4" s="8"/>
      <c r="U4" s="8"/>
      <c r="V4" s="8"/>
      <c r="W4" s="8"/>
      <c r="X4" s="8"/>
      <c r="Y4" s="8"/>
    </row>
    <row r="5" spans="1:25" x14ac:dyDescent="0.25">
      <c r="R5" s="8"/>
      <c r="S5" s="8"/>
      <c r="T5" s="8"/>
      <c r="U5" s="8"/>
      <c r="V5" s="8"/>
      <c r="W5" s="8"/>
      <c r="X5" s="8"/>
      <c r="Y5" s="8"/>
    </row>
    <row r="6" spans="1:25" x14ac:dyDescent="0.25">
      <c r="R6" s="8"/>
      <c r="S6" s="8"/>
      <c r="T6" s="8"/>
      <c r="U6" s="8"/>
      <c r="V6" s="8"/>
      <c r="W6" s="8"/>
      <c r="X6" s="8"/>
      <c r="Y6" s="8"/>
    </row>
    <row r="7" spans="1:25" x14ac:dyDescent="0.25">
      <c r="R7" s="8"/>
      <c r="S7" s="8"/>
      <c r="T7" s="8"/>
      <c r="U7" s="8"/>
      <c r="V7" s="8"/>
      <c r="W7" s="8"/>
      <c r="X7" s="8"/>
      <c r="Y7" s="8"/>
    </row>
    <row r="8" spans="1:25" x14ac:dyDescent="0.25">
      <c r="R8" s="8"/>
      <c r="S8" s="8"/>
      <c r="T8" s="8"/>
      <c r="U8" s="8"/>
      <c r="V8" s="8"/>
      <c r="W8" s="8"/>
      <c r="X8" s="8"/>
      <c r="Y8" s="8"/>
    </row>
    <row r="9" spans="1:25" x14ac:dyDescent="0.25">
      <c r="R9" s="8"/>
      <c r="S9" s="8"/>
      <c r="T9" s="8"/>
      <c r="U9" s="8"/>
      <c r="V9" s="8"/>
      <c r="W9" s="8"/>
      <c r="X9" s="8"/>
      <c r="Y9" s="8"/>
    </row>
    <row r="10" spans="1:25" x14ac:dyDescent="0.25">
      <c r="R10" s="8"/>
      <c r="S10" s="8"/>
      <c r="T10" s="8"/>
      <c r="U10" s="8"/>
      <c r="V10" s="8"/>
      <c r="W10" s="8"/>
      <c r="X10" s="8"/>
      <c r="Y10" s="8"/>
    </row>
    <row r="11" spans="1:25" x14ac:dyDescent="0.25">
      <c r="R11" s="8"/>
      <c r="S11" s="8"/>
      <c r="T11" s="8"/>
      <c r="U11" s="8"/>
      <c r="V11" s="8"/>
      <c r="W11" s="8"/>
      <c r="X11" s="8"/>
      <c r="Y11" s="8"/>
    </row>
    <row r="12" spans="1:25" x14ac:dyDescent="0.25">
      <c r="R12" s="8"/>
      <c r="S12" s="8"/>
      <c r="T12" s="8"/>
      <c r="U12" s="8"/>
      <c r="V12" s="8"/>
      <c r="W12" s="8"/>
      <c r="X12" s="8"/>
      <c r="Y12" s="8"/>
    </row>
    <row r="13" spans="1:25" x14ac:dyDescent="0.25">
      <c r="R13" s="8"/>
      <c r="S13" s="8"/>
      <c r="T13" s="8"/>
      <c r="U13" s="8"/>
      <c r="V13" s="8"/>
      <c r="W13" s="8"/>
      <c r="X13" s="8"/>
      <c r="Y13" s="8"/>
    </row>
    <row r="14" spans="1:25" x14ac:dyDescent="0.25">
      <c r="R14" s="8"/>
      <c r="S14" s="8"/>
      <c r="T14" s="8"/>
      <c r="U14" s="8"/>
      <c r="V14" s="8"/>
      <c r="W14" s="8"/>
      <c r="X14" s="8"/>
      <c r="Y14" s="8"/>
    </row>
    <row r="15" spans="1:25" x14ac:dyDescent="0.25">
      <c r="R15" s="8"/>
      <c r="S15" s="8"/>
      <c r="T15" s="8"/>
      <c r="U15" s="8"/>
      <c r="V15" s="8"/>
      <c r="W15" s="8"/>
      <c r="X15" s="8"/>
      <c r="Y15" s="8"/>
    </row>
    <row r="16" spans="1:25" x14ac:dyDescent="0.25">
      <c r="R16" s="8"/>
      <c r="S16" s="8"/>
      <c r="T16" s="8"/>
      <c r="U16" s="8"/>
      <c r="V16" s="8"/>
      <c r="W16" s="8"/>
      <c r="X16" s="8"/>
      <c r="Y16" s="8"/>
    </row>
    <row r="17" spans="18:25" x14ac:dyDescent="0.25">
      <c r="R17" s="8"/>
      <c r="S17" s="8"/>
      <c r="T17" s="8"/>
      <c r="U17" s="8"/>
      <c r="V17" s="8"/>
      <c r="W17" s="8"/>
      <c r="X17" s="8"/>
      <c r="Y17" s="8"/>
    </row>
    <row r="18" spans="18:25" x14ac:dyDescent="0.25">
      <c r="R18" s="8"/>
      <c r="S18" s="8"/>
      <c r="T18" s="8"/>
      <c r="U18" s="8"/>
      <c r="V18" s="8"/>
      <c r="W18" s="8"/>
      <c r="X18" s="8"/>
      <c r="Y18" s="8"/>
    </row>
    <row r="19" spans="18:25" x14ac:dyDescent="0.25">
      <c r="R19" s="8"/>
      <c r="S19" s="8"/>
      <c r="T19" s="8"/>
      <c r="U19" s="8"/>
      <c r="V19" s="8"/>
      <c r="W19" s="8"/>
      <c r="X19" s="8"/>
      <c r="Y19" s="8"/>
    </row>
    <row r="20" spans="18:25" x14ac:dyDescent="0.25">
      <c r="R20" s="8"/>
      <c r="S20" s="8"/>
      <c r="T20" s="8"/>
      <c r="U20" s="8"/>
      <c r="V20" s="8"/>
      <c r="W20" s="8"/>
      <c r="X20" s="8"/>
      <c r="Y20" s="8"/>
    </row>
    <row r="21" spans="18:25" x14ac:dyDescent="0.25">
      <c r="R21" s="8"/>
      <c r="S21" s="8"/>
      <c r="T21" s="8"/>
      <c r="U21" s="8"/>
      <c r="V21" s="8"/>
      <c r="W21" s="8"/>
      <c r="X21" s="8"/>
      <c r="Y21" s="8"/>
    </row>
    <row r="22" spans="18:25" x14ac:dyDescent="0.25">
      <c r="R22" s="8"/>
      <c r="S22" s="8"/>
      <c r="T22" s="8"/>
      <c r="U22" s="8"/>
      <c r="V22" s="8"/>
      <c r="W22" s="8"/>
      <c r="X22" s="8"/>
      <c r="Y22" s="8"/>
    </row>
    <row r="23" spans="18:25" x14ac:dyDescent="0.25">
      <c r="R23" s="8"/>
      <c r="S23" s="8"/>
      <c r="T23" s="8"/>
      <c r="U23" s="8"/>
      <c r="V23" s="8"/>
      <c r="W23" s="8"/>
      <c r="X23" s="8"/>
      <c r="Y23" s="8"/>
    </row>
    <row r="24" spans="18:25" x14ac:dyDescent="0.25">
      <c r="R24" s="8"/>
      <c r="S24" s="8"/>
      <c r="T24" s="8"/>
      <c r="U24" s="8"/>
      <c r="V24" s="8"/>
      <c r="W24" s="8"/>
      <c r="X24" s="8"/>
      <c r="Y24" s="8"/>
    </row>
    <row r="25" spans="18:25" x14ac:dyDescent="0.25">
      <c r="R25" s="8"/>
      <c r="S25" s="8"/>
      <c r="T25" s="8"/>
      <c r="U25" s="8"/>
      <c r="V25" s="8"/>
      <c r="W25" s="8"/>
      <c r="X25" s="8"/>
      <c r="Y25" s="8"/>
    </row>
    <row r="26" spans="18:25" x14ac:dyDescent="0.25">
      <c r="R26" s="8"/>
      <c r="S26" s="8"/>
      <c r="T26" s="8"/>
      <c r="U26" s="8"/>
      <c r="V26" s="8"/>
      <c r="W26" s="8"/>
      <c r="X26" s="8"/>
      <c r="Y26" s="8"/>
    </row>
    <row r="27" spans="18:25" x14ac:dyDescent="0.25">
      <c r="R27" s="8"/>
      <c r="S27" s="8"/>
      <c r="T27" s="8"/>
      <c r="U27" s="8"/>
      <c r="V27" s="8"/>
      <c r="W27" s="8"/>
      <c r="X27" s="8"/>
      <c r="Y27" s="8"/>
    </row>
    <row r="28" spans="18:25" x14ac:dyDescent="0.25">
      <c r="R28" s="8"/>
      <c r="S28" s="8"/>
      <c r="T28" s="8"/>
      <c r="U28" s="8"/>
      <c r="V28" s="8"/>
      <c r="W28" s="8"/>
      <c r="X28" s="8"/>
      <c r="Y28" s="8"/>
    </row>
    <row r="29" spans="18:25" x14ac:dyDescent="0.25">
      <c r="R29" s="8"/>
      <c r="S29" s="8"/>
      <c r="T29" s="8"/>
      <c r="U29" s="8"/>
      <c r="V29" s="8"/>
      <c r="W29" s="8"/>
      <c r="X29" s="8"/>
      <c r="Y29" s="8"/>
    </row>
    <row r="30" spans="18:25" x14ac:dyDescent="0.25">
      <c r="R30" s="8"/>
      <c r="S30" s="8"/>
      <c r="T30" s="8"/>
      <c r="U30" s="8"/>
      <c r="V30" s="8"/>
      <c r="W30" s="8"/>
      <c r="X30" s="8"/>
      <c r="Y30" s="8"/>
    </row>
    <row r="31" spans="18:25" x14ac:dyDescent="0.25">
      <c r="R31" s="8"/>
      <c r="S31" s="8"/>
      <c r="T31" s="8"/>
      <c r="U31" s="8"/>
      <c r="V31" s="8"/>
      <c r="W31" s="8"/>
      <c r="X31" s="8"/>
      <c r="Y31" s="8"/>
    </row>
    <row r="32" spans="18:25" x14ac:dyDescent="0.25">
      <c r="R32" s="8"/>
      <c r="S32" s="8"/>
      <c r="T32" s="8"/>
      <c r="U32" s="8"/>
      <c r="V32" s="8"/>
      <c r="W32" s="8"/>
      <c r="X32" s="8"/>
      <c r="Y32" s="8"/>
    </row>
    <row r="33" spans="1:25" x14ac:dyDescent="0.25">
      <c r="R33" s="8"/>
      <c r="S33" s="8"/>
      <c r="T33" s="8"/>
      <c r="U33" s="8"/>
      <c r="V33" s="8"/>
      <c r="W33" s="8"/>
      <c r="X33" s="8"/>
      <c r="Y33" s="8"/>
    </row>
    <row r="34" spans="1:25" x14ac:dyDescent="0.25">
      <c r="A34" s="8"/>
      <c r="B34" s="8"/>
      <c r="C34" s="8"/>
      <c r="D34" s="8"/>
      <c r="E34" s="8"/>
      <c r="F34" s="8"/>
      <c r="G34" s="8"/>
      <c r="H34" s="8"/>
      <c r="I34" s="8"/>
      <c r="J34" s="8"/>
      <c r="K34" s="8"/>
      <c r="L34" s="8"/>
      <c r="M34" s="8"/>
      <c r="N34" s="8"/>
      <c r="O34" s="8"/>
      <c r="P34" s="8"/>
      <c r="Q34" s="8"/>
      <c r="R34" s="8"/>
      <c r="S34" s="8"/>
      <c r="T34" s="8"/>
      <c r="U34" s="8"/>
      <c r="V34" s="8"/>
      <c r="W34" s="8"/>
      <c r="X34" s="8"/>
      <c r="Y34" s="8"/>
    </row>
    <row r="35" spans="1:25" x14ac:dyDescent="0.25">
      <c r="A35" s="8"/>
      <c r="B35" s="8"/>
      <c r="C35" s="8"/>
      <c r="D35" s="8"/>
      <c r="E35" s="8"/>
      <c r="F35" s="8"/>
      <c r="G35" s="8"/>
      <c r="H35" s="8"/>
      <c r="I35" s="8"/>
      <c r="J35" s="8"/>
      <c r="K35" s="8"/>
      <c r="L35" s="8"/>
      <c r="M35" s="8"/>
      <c r="N35" s="8"/>
      <c r="O35" s="8"/>
      <c r="P35" s="8"/>
      <c r="Q35" s="8"/>
      <c r="R35" s="8"/>
      <c r="S35" s="8"/>
      <c r="T35" s="8"/>
      <c r="U35" s="8"/>
      <c r="V35" s="8"/>
      <c r="W35" s="8"/>
      <c r="X35" s="8"/>
      <c r="Y35" s="8"/>
    </row>
    <row r="36" spans="1:25" x14ac:dyDescent="0.25">
      <c r="A36" s="8"/>
      <c r="B36" s="8"/>
      <c r="C36" s="8"/>
      <c r="D36" s="8"/>
      <c r="E36" s="8"/>
      <c r="F36" s="8"/>
      <c r="G36" s="8"/>
      <c r="H36" s="8"/>
      <c r="I36" s="8"/>
      <c r="J36" s="8"/>
      <c r="K36" s="8"/>
      <c r="L36" s="8"/>
      <c r="M36" s="8"/>
      <c r="N36" s="8"/>
      <c r="O36" s="8"/>
      <c r="P36" s="8"/>
      <c r="Q36" s="8"/>
      <c r="R36" s="8"/>
      <c r="S36" s="8"/>
      <c r="T36" s="8"/>
      <c r="U36" s="8"/>
      <c r="V36" s="8"/>
      <c r="W36" s="8"/>
      <c r="X36" s="8"/>
      <c r="Y36" s="8"/>
    </row>
    <row r="37" spans="1:25" x14ac:dyDescent="0.25">
      <c r="A37" s="8"/>
      <c r="B37" s="8"/>
      <c r="C37" s="8"/>
      <c r="D37" s="8"/>
      <c r="E37" s="8"/>
      <c r="F37" s="8"/>
      <c r="G37" s="8"/>
      <c r="H37" s="8"/>
      <c r="I37" s="8"/>
      <c r="J37" s="8"/>
      <c r="K37" s="8"/>
      <c r="L37" s="8"/>
      <c r="M37" s="8"/>
      <c r="N37" s="8"/>
      <c r="O37" s="8"/>
      <c r="P37" s="8"/>
      <c r="Q37" s="8"/>
      <c r="R37" s="8"/>
      <c r="S37" s="8"/>
      <c r="T37" s="8"/>
      <c r="U37" s="8"/>
      <c r="V37" s="8"/>
      <c r="W37" s="8"/>
      <c r="X37" s="8"/>
      <c r="Y37" s="8"/>
    </row>
    <row r="38" spans="1:25" x14ac:dyDescent="0.25">
      <c r="A38" s="8"/>
      <c r="B38" s="8"/>
      <c r="C38" s="8"/>
      <c r="D38" s="8"/>
      <c r="E38" s="8"/>
      <c r="F38" s="8"/>
      <c r="G38" s="8"/>
      <c r="H38" s="8"/>
      <c r="I38" s="8"/>
      <c r="J38" s="8"/>
      <c r="K38" s="8"/>
      <c r="L38" s="8"/>
      <c r="M38" s="8"/>
      <c r="N38" s="8"/>
      <c r="O38" s="8"/>
      <c r="P38" s="8"/>
      <c r="Q38" s="8"/>
      <c r="R38" s="8"/>
      <c r="S38" s="8"/>
      <c r="T38" s="8"/>
      <c r="U38" s="8"/>
      <c r="V38" s="8"/>
      <c r="W38" s="8"/>
      <c r="X38" s="8"/>
      <c r="Y38" s="8"/>
    </row>
    <row r="39" spans="1:25" x14ac:dyDescent="0.25">
      <c r="A39" s="8"/>
      <c r="B39" s="8"/>
      <c r="C39" s="8"/>
      <c r="D39" s="8"/>
      <c r="E39" s="8"/>
      <c r="F39" s="8"/>
      <c r="G39" s="8"/>
      <c r="H39" s="8"/>
      <c r="I39" s="8"/>
      <c r="J39" s="8"/>
      <c r="K39" s="8"/>
      <c r="L39" s="8"/>
      <c r="M39" s="8"/>
      <c r="N39" s="8"/>
      <c r="O39" s="8"/>
      <c r="P39" s="8"/>
      <c r="Q39" s="8"/>
      <c r="R39" s="8"/>
      <c r="S39" s="8"/>
      <c r="T39" s="8"/>
      <c r="U39" s="8"/>
      <c r="V39" s="8"/>
      <c r="W39" s="8"/>
      <c r="X39" s="8"/>
      <c r="Y39" s="8"/>
    </row>
  </sheetData>
  <mergeCells count="3">
    <mergeCell ref="A1:Q4"/>
    <mergeCell ref="R1:Y39"/>
    <mergeCell ref="A34:Q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2026-03-11T01:03:29Z</dcterms:created>
  <dcterms:modified xsi:type="dcterms:W3CDTF">2026-03-11T01:56:42Z</dcterms:modified>
</cp:coreProperties>
</file>